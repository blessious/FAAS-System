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INT" sheetId="1" state="visible" r:id="rId1"/>
  </sheets>
  <definedNames>
    <definedName name="_xlnm.Print_Area" localSheetId="0">'PRINT'!$A$1:$H$70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ahnschrift Condensed"/>
      <family val="2"/>
      <b val="1"/>
      <color indexed="8"/>
      <sz val="11"/>
    </font>
    <font>
      <name val="Bahnschrift Condensed"/>
      <family val="2"/>
      <b val="1"/>
      <sz val="11"/>
    </font>
    <font>
      <name val="Bahnschrift Condensed"/>
      <family val="2"/>
      <b val="1"/>
      <color indexed="8"/>
      <sz val="14"/>
    </font>
    <font>
      <name val="Bahnschrift Condensed"/>
      <family val="2"/>
      <color indexed="8"/>
      <sz val="11"/>
    </font>
    <font>
      <name val="Bahnschrift Condensed"/>
      <family val="2"/>
      <b val="1"/>
      <color indexed="8"/>
      <sz val="12"/>
    </font>
    <font>
      <name val="Bahnschrift Condensed"/>
      <family val="2"/>
      <b val="1"/>
      <i val="1"/>
      <color indexed="8"/>
      <sz val="11"/>
    </font>
    <font>
      <name val="Calibri"/>
      <family val="2"/>
      <b val="1"/>
      <color theme="1"/>
      <sz val="11"/>
      <scheme val="minor"/>
    </font>
    <font>
      <name val="Bahnschrift Condensed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1" fillId="0" borderId="0"/>
    <xf numFmtId="165" fontId="1" fillId="0" borderId="0"/>
  </cellStyleXfs>
  <cellXfs count="111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5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2" fillId="0" borderId="0" pivotButton="0" quotePrefix="0" xfId="0"/>
    <xf numFmtId="0" fontId="5" fillId="0" borderId="8" pivotButton="0" quotePrefix="0" xfId="0"/>
    <xf numFmtId="0" fontId="5" fillId="0" borderId="0" applyAlignment="1" pivotButton="0" quotePrefix="0" xfId="0">
      <alignment horizontal="center"/>
    </xf>
    <xf numFmtId="0" fontId="5" fillId="0" borderId="6" pivotButton="0" quotePrefix="0" xfId="0"/>
    <xf numFmtId="0" fontId="3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0" fontId="5" fillId="0" borderId="16" pivotButton="0" quotePrefix="0" xfId="0"/>
    <xf numFmtId="10" fontId="2" fillId="0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5" fillId="0" borderId="17" applyAlignment="1" pivotButton="0" quotePrefix="0" xfId="0">
      <alignment vertical="center"/>
    </xf>
    <xf numFmtId="0" fontId="5" fillId="0" borderId="17" applyAlignment="1" pivotButton="0" quotePrefix="0" xfId="0">
      <alignment horizontal="left" vertical="center"/>
    </xf>
    <xf numFmtId="49" fontId="2" fillId="0" borderId="1" applyAlignment="1" pivotButton="0" quotePrefix="1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5" fillId="0" borderId="25" pivotButton="0" quotePrefix="0" xfId="0"/>
    <xf numFmtId="0" fontId="5" fillId="0" borderId="15" pivotButton="0" quotePrefix="0" xfId="0"/>
    <xf numFmtId="0" fontId="5" fillId="0" borderId="26" pivotButton="0" quotePrefix="0" xfId="0"/>
    <xf numFmtId="0" fontId="5" fillId="0" borderId="12" pivotButton="0" quotePrefix="0" xfId="0"/>
    <xf numFmtId="0" fontId="5" fillId="0" borderId="22" pivotButton="0" quotePrefix="0" xfId="0"/>
    <xf numFmtId="4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19" pivotButton="0" quotePrefix="0" xfId="0"/>
    <xf numFmtId="0" fontId="0" fillId="0" borderId="18" pivotButton="0" quotePrefix="0" xfId="0"/>
    <xf numFmtId="0" fontId="9" fillId="0" borderId="26" applyAlignment="1" pivotButton="0" quotePrefix="0" xfId="0">
      <alignment horizontal="left" vertical="top"/>
    </xf>
    <xf numFmtId="0" fontId="8" fillId="0" borderId="1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top"/>
    </xf>
    <xf numFmtId="0" fontId="8" fillId="0" borderId="14" applyAlignment="1" pivotButton="0" quotePrefix="0" xfId="0">
      <alignment horizontal="left" vertical="top"/>
    </xf>
    <xf numFmtId="0" fontId="8" fillId="0" borderId="15" applyAlignment="1" pivotButton="0" quotePrefix="0" xfId="0">
      <alignment horizontal="left" vertical="top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0" fillId="0" borderId="9" pivotButton="0" quotePrefix="0" xfId="0"/>
    <xf numFmtId="0" fontId="3" fillId="0" borderId="1" applyAlignment="1" pivotButton="0" quotePrefix="0" xfId="0">
      <alignment horizontal="left"/>
    </xf>
    <xf numFmtId="4" fontId="3" fillId="0" borderId="2" applyAlignment="1" pivotButton="0" quotePrefix="0" xfId="1">
      <alignment horizontal="center"/>
    </xf>
    <xf numFmtId="4" fontId="3" fillId="0" borderId="26" applyAlignment="1" pivotButton="0" quotePrefix="0" xfId="1">
      <alignment horizontal="center"/>
    </xf>
    <xf numFmtId="0" fontId="8" fillId="0" borderId="19" pivotButton="0" quotePrefix="0" xfId="0"/>
    <xf numFmtId="0" fontId="8" fillId="0" borderId="18" pivotButton="0" quotePrefix="0" xfId="0"/>
    <xf numFmtId="0" fontId="2" fillId="0" borderId="24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/>
    </xf>
    <xf numFmtId="0" fontId="0" fillId="0" borderId="23" pivotButton="0" quotePrefix="0" xfId="0"/>
    <xf numFmtId="0" fontId="5" fillId="0" borderId="17" applyAlignment="1" pivotButton="0" quotePrefix="0" xfId="0">
      <alignment horizontal="left" vertical="center"/>
    </xf>
    <xf numFmtId="0" fontId="0" fillId="0" borderId="20" pivotButton="0" quotePrefix="0" xfId="0"/>
    <xf numFmtId="0" fontId="2" fillId="0" borderId="2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2" pivotButton="0" quotePrefix="0" xfId="0"/>
    <xf numFmtId="0" fontId="0" fillId="0" borderId="14" pivotButton="0" quotePrefix="0" xfId="0"/>
    <xf numFmtId="0" fontId="0" fillId="0" borderId="18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5" fillId="0" borderId="27" applyAlignment="1" pivotButton="0" quotePrefix="1" xfId="0">
      <alignment horizontal="left" vertical="top" wrapText="1"/>
    </xf>
    <xf numFmtId="0" fontId="5" fillId="0" borderId="10" applyAlignment="1" pivotButton="0" quotePrefix="1" xfId="0">
      <alignment horizontal="left" vertical="top" wrapText="1"/>
    </xf>
    <xf numFmtId="0" fontId="5" fillId="0" borderId="21" applyAlignment="1" pivotButton="0" quotePrefix="1" xfId="0">
      <alignment horizontal="left" vertical="top" wrapText="1"/>
    </xf>
    <xf numFmtId="0" fontId="5" fillId="0" borderId="12" applyAlignment="1" pivotButton="0" quotePrefix="1" xfId="0">
      <alignment horizontal="left" vertical="top" wrapText="1"/>
    </xf>
    <xf numFmtId="0" fontId="5" fillId="0" borderId="0" applyAlignment="1" pivotButton="0" quotePrefix="1" xfId="0">
      <alignment horizontal="left" vertical="top" wrapText="1"/>
    </xf>
    <xf numFmtId="0" fontId="5" fillId="0" borderId="25" applyAlignment="1" pivotButton="0" quotePrefix="1" xfId="0">
      <alignment horizontal="left" vertical="top" wrapText="1"/>
    </xf>
    <xf numFmtId="0" fontId="5" fillId="0" borderId="22" applyAlignment="1" pivotButton="0" quotePrefix="1" xfId="0">
      <alignment horizontal="left" vertical="top" wrapText="1"/>
    </xf>
    <xf numFmtId="0" fontId="5" fillId="0" borderId="14" applyAlignment="1" pivotButton="0" quotePrefix="1" xfId="0">
      <alignment horizontal="left" vertical="top" wrapText="1"/>
    </xf>
    <xf numFmtId="0" fontId="5" fillId="0" borderId="15" applyAlignment="1" pivotButton="0" quotePrefix="1" xfId="0">
      <alignment horizontal="left" vertical="top" wrapText="1"/>
    </xf>
    <xf numFmtId="0" fontId="2" fillId="0" borderId="8" applyAlignment="1" pivotButton="0" quotePrefix="0" xfId="0">
      <alignment horizontal="center"/>
    </xf>
    <xf numFmtId="0" fontId="0" fillId="0" borderId="8" pivotButton="0" quotePrefix="0" xfId="0"/>
    <xf numFmtId="9" fontId="2" fillId="0" borderId="1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4" pivotButton="0" quotePrefix="0" xfId="0"/>
    <xf numFmtId="0" fontId="2" fillId="0" borderId="1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/>
    </xf>
    <xf numFmtId="0" fontId="2" fillId="0" borderId="24" applyAlignment="1" pivotButton="0" quotePrefix="0" xfId="0">
      <alignment horizontal="left" vertical="top"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2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4" fontId="2" fillId="0" borderId="2" applyAlignment="1" pivotButton="0" quotePrefix="0" xfId="0">
      <alignment horizontal="center"/>
    </xf>
    <xf numFmtId="4" fontId="2" fillId="0" borderId="2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/>
    </xf>
    <xf numFmtId="0" fontId="5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4" fontId="3" fillId="0" borderId="29" applyAlignment="1" pivotButton="0" quotePrefix="0" xfId="1">
      <alignment horizontal="center"/>
    </xf>
    <xf numFmtId="0" fontId="0" fillId="0" borderId="31" pivotButton="0" quotePrefix="0" xfId="0"/>
    <xf numFmtId="4" fontId="2" fillId="0" borderId="29" applyAlignment="1" pivotButton="0" quotePrefix="0" xfId="0">
      <alignment horizontal="center"/>
    </xf>
    <xf numFmtId="0" fontId="5" fillId="0" borderId="24" applyAlignment="1" pivotButton="0" quotePrefix="1" xfId="0">
      <alignment horizontal="left" vertical="top" wrapText="1"/>
    </xf>
    <xf numFmtId="0" fontId="0" fillId="0" borderId="12" pivotButton="0" quotePrefix="0" xfId="0"/>
    <xf numFmtId="0" fontId="0" fillId="0" borderId="25" pivotButton="0" quotePrefix="0" xfId="0"/>
    <xf numFmtId="0" fontId="0" fillId="0" borderId="26" pivotButton="0" quotePrefix="0" xfId="0"/>
  </cellXfs>
  <cellStyles count="2">
    <cellStyle name="Normal" xfId="0" builtinId="0"/>
    <cellStyle name="Comma" xfId="1" builtinId="3"/>
  </cellStyles>
  <dxfs count="1">
    <dxf>
      <numFmt numFmtId="1" formatCode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238125</colOff>
      <row>0</row>
      <rowOff>0</rowOff>
    </from>
    <to>
      <col>2</col>
      <colOff>117712</colOff>
      <row>3</row>
      <rowOff>38271</rowOff>
    </to>
    <pic>
      <nvPicPr>
        <cNvPr id="2" name="Picture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085850" y="0"/>
          <a:ext cx="727312" cy="724071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6</col>
      <colOff>66675</colOff>
      <row>0</row>
      <rowOff>28575</rowOff>
    </from>
    <to>
      <col>6</col>
      <colOff>808056</colOff>
      <row>3</row>
      <rowOff>20497</rowOff>
    </to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953000" y="28575"/>
          <a:ext cx="741381" cy="67772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tabSelected="1" view="pageBreakPreview" topLeftCell="A34" zoomScale="115" zoomScaleNormal="145" zoomScaleSheetLayoutView="115" workbookViewId="0">
      <selection activeCell="C47" sqref="C47:D47"/>
    </sheetView>
  </sheetViews>
  <sheetFormatPr baseColWidth="8" defaultRowHeight="14.25"/>
  <cols>
    <col width="12.7109375" customWidth="1" style="32" min="1" max="2"/>
    <col width="10.7109375" customWidth="1" style="32" min="3" max="3"/>
    <col width="12.7109375" customWidth="1" style="32" min="4" max="4"/>
    <col width="13.7109375" customWidth="1" style="32" min="5" max="5"/>
    <col width="10.7109375" customWidth="1" style="32" min="6" max="6"/>
    <col width="12.7109375" customWidth="1" style="32" min="7" max="7"/>
    <col width="14.7109375" customWidth="1" style="32" min="8" max="8"/>
    <col width="9.140625" customWidth="1" style="32" min="9" max="11"/>
    <col width="9.140625" customWidth="1" style="32" min="12" max="16384"/>
  </cols>
  <sheetData>
    <row r="1" ht="18" customHeight="1">
      <c r="A1" s="31" t="inlineStr">
        <is>
          <t>MUNICIPALITY OF BOAC</t>
        </is>
      </c>
    </row>
    <row r="2" ht="18" customHeight="1">
      <c r="A2" s="31" t="inlineStr">
        <is>
          <t>OFFICE OF THE MUNICIPAL ASSESSOR</t>
        </is>
      </c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</row>
    <row r="4" ht="12" customHeight="1">
      <c r="A4" s="31" t="n"/>
      <c r="B4" s="31" t="n"/>
      <c r="C4" s="31" t="n"/>
      <c r="D4" s="31" t="n"/>
      <c r="E4" s="31" t="n"/>
      <c r="F4" s="31" t="n"/>
      <c r="G4" s="31" t="n"/>
      <c r="H4" s="31" t="n"/>
    </row>
    <row r="5" ht="15" customHeight="1">
      <c r="A5" s="79" t="inlineStr">
        <is>
          <t>REAL PROPERTY FIELD APPRAISAL AND ASSESSMENT SHEET - LAND PLANTS &amp; TREES</t>
        </is>
      </c>
      <c r="B5" s="34" t="n"/>
      <c r="C5" s="34" t="n"/>
      <c r="D5" s="34" t="n"/>
      <c r="E5" s="34" t="n"/>
      <c r="F5" s="34" t="n"/>
      <c r="G5" s="34" t="n"/>
      <c r="H5" s="35" t="n"/>
    </row>
    <row r="6" ht="15" customHeight="1">
      <c r="A6" s="3" t="inlineStr">
        <is>
          <t>ARF No.</t>
        </is>
      </c>
      <c r="B6" s="33" t="inlineStr">
        <is>
          <t>VERIFY-ROUNDING</t>
        </is>
      </c>
      <c r="C6" s="34" t="n"/>
      <c r="D6" s="35" t="n"/>
      <c r="E6" s="3" t="inlineStr">
        <is>
          <t>PIN</t>
        </is>
      </c>
      <c r="F6" s="33" t="n"/>
      <c r="G6" s="34" t="n"/>
      <c r="H6" s="35" t="n"/>
    </row>
    <row r="7" ht="15" customHeight="1">
      <c r="A7" s="3" t="inlineStr">
        <is>
          <t>OCT/ TCT No.</t>
        </is>
      </c>
      <c r="B7" s="33" t="n"/>
      <c r="C7" s="34" t="n"/>
      <c r="D7" s="35" t="n"/>
      <c r="E7" s="3" t="inlineStr">
        <is>
          <t>Survey No.</t>
        </is>
      </c>
      <c r="F7" s="33" t="n"/>
      <c r="G7" s="34" t="n"/>
      <c r="H7" s="35" t="n"/>
    </row>
    <row r="8">
      <c r="A8" s="44" t="inlineStr">
        <is>
          <t>Owner</t>
        </is>
      </c>
      <c r="B8" s="80" t="inlineStr">
        <is>
          <t>C47 Rounding Verification</t>
        </is>
      </c>
      <c r="C8" s="57" t="n"/>
      <c r="D8" s="101" t="n"/>
      <c r="E8" s="44" t="inlineStr">
        <is>
          <t>Address</t>
        </is>
      </c>
      <c r="F8" s="86" t="n"/>
      <c r="G8" s="75" t="n"/>
      <c r="H8" s="87" t="n"/>
    </row>
    <row r="9" ht="36.75" customHeight="1">
      <c r="A9" s="45" t="n"/>
      <c r="B9" s="102" t="n"/>
      <c r="C9" s="59" t="n"/>
      <c r="D9" s="103" t="n"/>
      <c r="E9" s="45" t="n"/>
      <c r="F9" s="88" t="n"/>
      <c r="G9" s="72" t="n"/>
      <c r="H9" s="78" t="n"/>
    </row>
    <row r="10">
      <c r="A10" s="44" t="inlineStr">
        <is>
          <t>Administrator</t>
        </is>
      </c>
      <c r="B10" s="36" t="n"/>
      <c r="C10" s="57" t="n"/>
      <c r="D10" s="101" t="n"/>
      <c r="E10" s="44" t="inlineStr">
        <is>
          <t>Address</t>
        </is>
      </c>
      <c r="F10" s="86" t="n"/>
      <c r="G10" s="75" t="n"/>
      <c r="H10" s="87" t="n"/>
    </row>
    <row r="11" hidden="1">
      <c r="A11" s="45" t="n"/>
      <c r="B11" s="59" t="n"/>
      <c r="C11" s="59" t="n"/>
      <c r="D11" s="103" t="n"/>
      <c r="E11" s="45" t="n"/>
      <c r="F11" s="88" t="n"/>
      <c r="G11" s="72" t="n"/>
      <c r="H11" s="78" t="n"/>
    </row>
    <row r="12" ht="15" customHeight="1">
      <c r="A12" s="41" t="inlineStr">
        <is>
          <t>PROPERTY LOCATION</t>
        </is>
      </c>
      <c r="B12" s="34" t="n"/>
      <c r="C12" s="34" t="n"/>
      <c r="D12" s="34" t="n"/>
      <c r="E12" s="34" t="n"/>
      <c r="F12" s="34" t="n"/>
      <c r="G12" s="34" t="n"/>
      <c r="H12" s="35" t="n"/>
    </row>
    <row r="13" ht="15" customHeight="1">
      <c r="A13" s="3" t="inlineStr">
        <is>
          <t>No. Street</t>
        </is>
      </c>
      <c r="B13" s="41" t="n"/>
      <c r="C13" s="34" t="n"/>
      <c r="D13" s="35" t="n"/>
      <c r="E13" s="3" t="inlineStr">
        <is>
          <t>Municipality</t>
        </is>
      </c>
      <c r="F13" s="33" t="n"/>
      <c r="G13" s="34" t="n"/>
      <c r="H13" s="35" t="n"/>
    </row>
    <row r="14" ht="15" customHeight="1">
      <c r="A14" s="3" t="inlineStr">
        <is>
          <t>Barangay</t>
        </is>
      </c>
      <c r="B14" s="41" t="n"/>
      <c r="C14" s="34" t="n"/>
      <c r="D14" s="35" t="n"/>
      <c r="E14" s="3" t="inlineStr">
        <is>
          <t>Province/City</t>
        </is>
      </c>
      <c r="F14" s="33" t="n"/>
      <c r="G14" s="34" t="n"/>
      <c r="H14" s="35" t="n"/>
    </row>
    <row r="15" ht="15" customHeight="1">
      <c r="A15" s="41" t="inlineStr">
        <is>
          <t>PROPERTY BOUNDARIES</t>
        </is>
      </c>
      <c r="B15" s="34" t="n"/>
      <c r="C15" s="34" t="n"/>
      <c r="D15" s="34" t="n"/>
      <c r="E15" s="34" t="n"/>
      <c r="F15" s="34" t="n"/>
      <c r="G15" s="34" t="n"/>
      <c r="H15" s="35" t="n"/>
    </row>
    <row r="16" ht="15" customHeight="1">
      <c r="A16" s="3" t="inlineStr">
        <is>
          <t>North</t>
        </is>
      </c>
      <c r="B16" s="33" t="n"/>
      <c r="C16" s="34" t="n"/>
      <c r="D16" s="34" t="n"/>
      <c r="E16" s="34" t="n"/>
      <c r="F16" s="34" t="n"/>
      <c r="G16" s="34" t="n"/>
      <c r="H16" s="35" t="n"/>
    </row>
    <row r="17" ht="15" customHeight="1">
      <c r="A17" s="3" t="inlineStr">
        <is>
          <t>East</t>
        </is>
      </c>
      <c r="B17" s="46" t="n"/>
      <c r="C17" s="34" t="n"/>
      <c r="D17" s="34" t="n"/>
      <c r="E17" s="34" t="n"/>
      <c r="F17" s="34" t="n"/>
      <c r="G17" s="34" t="n"/>
      <c r="H17" s="35" t="n"/>
    </row>
    <row r="18" ht="15" customHeight="1">
      <c r="A18" s="3" t="inlineStr">
        <is>
          <t>South</t>
        </is>
      </c>
      <c r="B18" s="33" t="n"/>
      <c r="C18" s="34" t="n"/>
      <c r="D18" s="34" t="n"/>
      <c r="E18" s="34" t="n"/>
      <c r="F18" s="34" t="n"/>
      <c r="G18" s="34" t="n"/>
      <c r="H18" s="35" t="n"/>
    </row>
    <row r="19" ht="15" customHeight="1">
      <c r="A19" s="3" t="inlineStr">
        <is>
          <t>West</t>
        </is>
      </c>
      <c r="B19" s="33" t="n"/>
      <c r="C19" s="34" t="n"/>
      <c r="D19" s="34" t="n"/>
      <c r="E19" s="34" t="n"/>
      <c r="F19" s="34" t="n"/>
      <c r="G19" s="34" t="n"/>
      <c r="H19" s="35" t="n"/>
    </row>
    <row r="20" ht="15" customHeight="1">
      <c r="A20" s="41" t="inlineStr">
        <is>
          <t>LAND APPRAISAL</t>
        </is>
      </c>
      <c r="B20" s="34" t="n"/>
      <c r="C20" s="34" t="n"/>
      <c r="D20" s="34" t="n"/>
      <c r="E20" s="34" t="n"/>
      <c r="F20" s="34" t="n"/>
      <c r="G20" s="34" t="n"/>
      <c r="H20" s="35" t="n"/>
    </row>
    <row r="21" ht="15" customHeight="1">
      <c r="A21" s="42" t="inlineStr">
        <is>
          <t>Classification</t>
        </is>
      </c>
      <c r="B21" s="35" t="n"/>
      <c r="C21" s="4" t="inlineStr">
        <is>
          <t>Sub-Class</t>
        </is>
      </c>
      <c r="D21" s="42" t="inlineStr">
        <is>
          <t>Area</t>
        </is>
      </c>
      <c r="E21" s="42" t="inlineStr">
        <is>
          <t>Unit Value</t>
        </is>
      </c>
      <c r="F21" s="35" t="n"/>
      <c r="G21" s="42" t="inlineStr">
        <is>
          <t>Market Value</t>
        </is>
      </c>
      <c r="H21" s="35" t="n"/>
    </row>
    <row r="22" ht="15" customHeight="1">
      <c r="A22" s="41" t="inlineStr">
        <is>
          <t>RESIDENTIAL</t>
        </is>
      </c>
      <c r="B22" s="35" t="n"/>
      <c r="C22" s="13" t="inlineStr">
        <is>
          <t>R-1</t>
        </is>
      </c>
      <c r="D22" s="14" t="n">
        <v>100</v>
      </c>
      <c r="E22" s="104" t="n">
        <v>760</v>
      </c>
      <c r="F22" s="105" t="n"/>
      <c r="G22" s="43" t="n">
        <v>76000</v>
      </c>
      <c r="H22" s="35" t="n"/>
    </row>
    <row r="23" ht="15" customHeight="1">
      <c r="A23" s="41" t="inlineStr">
        <is>
          <t>COMMERCIAL</t>
        </is>
      </c>
      <c r="B23" s="35" t="n"/>
      <c r="C23" s="41" t="inlineStr">
        <is>
          <t>C-1</t>
        </is>
      </c>
      <c r="D23" s="14" t="n">
        <v>50</v>
      </c>
      <c r="E23" s="104" t="n">
        <v>1400</v>
      </c>
      <c r="F23" s="105" t="n"/>
      <c r="G23" s="43" t="n">
        <v>70000</v>
      </c>
      <c r="H23" s="35" t="n"/>
    </row>
    <row r="24" ht="15" customHeight="1">
      <c r="A24" s="41" t="n"/>
      <c r="B24" s="35" t="n"/>
      <c r="C24" s="41" t="n"/>
      <c r="D24" s="14" t="n"/>
      <c r="E24" s="104" t="n"/>
      <c r="F24" s="105" t="n"/>
      <c r="G24" s="43" t="n"/>
      <c r="H24" s="35" t="n"/>
    </row>
    <row r="25" ht="15" customHeight="1">
      <c r="A25" s="41" t="n"/>
      <c r="B25" s="35" t="n"/>
      <c r="C25" s="22" t="n"/>
      <c r="D25" s="14" t="n"/>
      <c r="E25" s="104" t="n"/>
      <c r="F25" s="105" t="n"/>
      <c r="G25" s="43" t="n"/>
      <c r="H25" s="35" t="n"/>
    </row>
    <row r="26" ht="15" customHeight="1">
      <c r="A26" s="41" t="inlineStr">
        <is>
          <t>TOTAL</t>
        </is>
      </c>
      <c r="B26" s="35" t="n"/>
      <c r="C26" s="3" t="n"/>
      <c r="D26" s="3" t="n"/>
      <c r="E26" s="42" t="n"/>
      <c r="F26" s="35" t="n"/>
      <c r="G26" s="43">
        <f>IF(SUM(G22:H25)=0, "", SUM(G22:H25))</f>
        <v/>
      </c>
      <c r="H26" s="35" t="n"/>
    </row>
    <row r="27" ht="15" customHeight="1">
      <c r="A27" s="41" t="inlineStr">
        <is>
          <t>OTHER IMPROVEMENTS</t>
        </is>
      </c>
      <c r="B27" s="34" t="n"/>
      <c r="C27" s="34" t="n"/>
      <c r="D27" s="34" t="n"/>
      <c r="E27" s="34" t="n"/>
      <c r="F27" s="34" t="n"/>
      <c r="G27" s="34" t="n"/>
      <c r="H27" s="35" t="n"/>
    </row>
    <row r="28" ht="15" customHeight="1">
      <c r="A28" s="42" t="inlineStr">
        <is>
          <t>Product Class</t>
        </is>
      </c>
      <c r="B28" s="35" t="n"/>
      <c r="C28" s="42" t="inlineStr">
        <is>
          <t>Number</t>
        </is>
      </c>
      <c r="D28" s="35" t="n"/>
      <c r="E28" s="42" t="inlineStr">
        <is>
          <t>Unit Value</t>
        </is>
      </c>
      <c r="F28" s="35" t="n"/>
      <c r="G28" s="42" t="inlineStr">
        <is>
          <t>Market Value</t>
        </is>
      </c>
      <c r="H28" s="35" t="n"/>
    </row>
    <row r="29" ht="15" customHeight="1">
      <c r="A29" s="41" t="inlineStr">
        <is>
          <t>MANGO</t>
        </is>
      </c>
      <c r="B29" s="35" t="n"/>
      <c r="C29" s="41" t="n">
        <v>10</v>
      </c>
      <c r="D29" s="35" t="n"/>
      <c r="E29" s="43" t="n">
        <v>1750</v>
      </c>
      <c r="F29" s="35" t="n"/>
      <c r="G29" s="43" t="n">
        <v>17500</v>
      </c>
      <c r="H29" s="35" t="n"/>
    </row>
    <row r="30" ht="15" customHeight="1">
      <c r="A30" s="42" t="inlineStr">
        <is>
          <t>AVOCADO</t>
        </is>
      </c>
      <c r="B30" s="35" t="n"/>
      <c r="C30" s="41" t="n">
        <v>5</v>
      </c>
      <c r="D30" s="35" t="n"/>
      <c r="E30" s="43" t="n">
        <v>310</v>
      </c>
      <c r="F30" s="35" t="n"/>
      <c r="G30" s="43" t="n">
        <v>1550</v>
      </c>
      <c r="H30" s="35" t="n"/>
    </row>
    <row r="31" ht="15" customHeight="1">
      <c r="A31" s="42" t="n"/>
      <c r="B31" s="35" t="n"/>
      <c r="C31" s="41" t="n"/>
      <c r="D31" s="35" t="n"/>
      <c r="E31" s="43" t="n"/>
      <c r="F31" s="35" t="n"/>
      <c r="G31" s="43" t="n"/>
      <c r="H31" s="35" t="n"/>
    </row>
    <row r="32" ht="15" customHeight="1">
      <c r="A32" s="42" t="n"/>
      <c r="B32" s="35" t="n"/>
      <c r="C32" s="41" t="n"/>
      <c r="D32" s="35" t="n"/>
      <c r="E32" s="43" t="n"/>
      <c r="F32" s="35" t="n"/>
      <c r="G32" s="43" t="n"/>
      <c r="H32" s="35" t="n"/>
    </row>
    <row r="33" ht="15" customHeight="1">
      <c r="A33" s="41" t="inlineStr">
        <is>
          <t>TOTAL</t>
        </is>
      </c>
      <c r="B33" s="35" t="n"/>
      <c r="C33" s="42" t="n"/>
      <c r="D33" s="35" t="n"/>
      <c r="E33" s="42" t="n"/>
      <c r="F33" s="35" t="n"/>
      <c r="G33" s="43">
        <f>IF(SUM(G29:H32)=0, "", SUM(G29:H32))</f>
        <v/>
      </c>
      <c r="H33" s="35" t="n"/>
    </row>
    <row r="34" ht="15" customHeight="1">
      <c r="A34" s="71" t="inlineStr">
        <is>
          <t>MARKET VALUE</t>
        </is>
      </c>
      <c r="B34" s="72" t="n"/>
      <c r="C34" s="72" t="n"/>
      <c r="D34" s="72" t="n"/>
      <c r="E34" s="72" t="n"/>
      <c r="F34" s="72" t="n"/>
      <c r="G34" s="72" t="n"/>
      <c r="H34" s="72" t="n"/>
    </row>
    <row r="35" ht="15" customHeight="1">
      <c r="A35" s="42" t="inlineStr">
        <is>
          <t>Market Value</t>
        </is>
      </c>
      <c r="B35" s="35" t="n"/>
      <c r="C35" s="42" t="inlineStr">
        <is>
          <t>Adj. Factor</t>
        </is>
      </c>
      <c r="D35" s="42" t="inlineStr">
        <is>
          <t>% Adjustment</t>
        </is>
      </c>
      <c r="E35" s="42" t="inlineStr">
        <is>
          <t>Value Adjustment</t>
        </is>
      </c>
      <c r="F35" s="35" t="n"/>
      <c r="G35" s="42" t="inlineStr">
        <is>
          <t>Adjusted Market Value</t>
        </is>
      </c>
      <c r="H35" s="35" t="n"/>
    </row>
    <row r="36" ht="15" customHeight="1">
      <c r="A36" s="43" t="n">
        <v>76000</v>
      </c>
      <c r="B36" s="35" t="n"/>
      <c r="C36" s="21" t="n"/>
      <c r="D36" s="16" t="n"/>
      <c r="E36" s="42" t="n"/>
      <c r="F36" s="35" t="n"/>
      <c r="G36" s="43" t="n">
        <v>76000</v>
      </c>
      <c r="H36" s="35" t="n"/>
    </row>
    <row r="37" ht="15" customHeight="1">
      <c r="A37" s="43" t="n">
        <v>70000</v>
      </c>
      <c r="B37" s="35" t="n"/>
      <c r="C37" s="21" t="n"/>
      <c r="D37" s="16" t="n"/>
      <c r="E37" s="42" t="n"/>
      <c r="F37" s="35" t="n"/>
      <c r="G37" s="43" t="n">
        <v>70000</v>
      </c>
      <c r="H37" s="35" t="n"/>
    </row>
    <row r="38" ht="15" customHeight="1">
      <c r="A38" s="43" t="n">
        <v>17500</v>
      </c>
      <c r="B38" s="35" t="n"/>
      <c r="C38" s="21" t="n"/>
      <c r="D38" s="16" t="n"/>
      <c r="E38" s="42" t="n"/>
      <c r="F38" s="35" t="n"/>
      <c r="G38" s="43" t="n">
        <v>17500</v>
      </c>
      <c r="H38" s="35" t="n"/>
    </row>
    <row r="39" ht="15" customHeight="1">
      <c r="A39" s="43" t="n">
        <v>1550</v>
      </c>
      <c r="B39" s="35" t="n"/>
      <c r="C39" s="21" t="n"/>
      <c r="D39" s="16" t="n"/>
      <c r="E39" s="42" t="n"/>
      <c r="F39" s="35" t="n"/>
      <c r="G39" s="106" t="n">
        <v>1550</v>
      </c>
      <c r="H39" s="105" t="n"/>
    </row>
    <row r="40" ht="15" customHeight="1">
      <c r="A40" s="41" t="inlineStr">
        <is>
          <t>TOTAL</t>
        </is>
      </c>
      <c r="B40" s="35" t="n"/>
      <c r="C40" s="42" t="n"/>
      <c r="D40" s="42" t="n"/>
      <c r="E40" s="42" t="n"/>
      <c r="F40" s="35" t="n"/>
      <c r="G40" s="43">
        <f>IF(SUM(G36:H39)=0, "", SUM(G36:H39))</f>
        <v/>
      </c>
      <c r="H40" s="35" t="n"/>
    </row>
    <row r="41" ht="15" customHeight="1">
      <c r="A41" s="41" t="inlineStr">
        <is>
          <t>PROPERTY ASSESSMENT</t>
        </is>
      </c>
      <c r="B41" s="34" t="n"/>
      <c r="C41" s="34" t="n"/>
      <c r="D41" s="34" t="n"/>
      <c r="E41" s="34" t="n"/>
      <c r="F41" s="34" t="n"/>
      <c r="G41" s="34" t="n"/>
      <c r="H41" s="35" t="n"/>
    </row>
    <row r="42" ht="15" customHeight="1">
      <c r="A42" s="42" t="inlineStr">
        <is>
          <t>Kind</t>
        </is>
      </c>
      <c r="B42" s="42" t="inlineStr">
        <is>
          <t>Actual Use</t>
        </is>
      </c>
      <c r="C42" s="42" t="inlineStr">
        <is>
          <t>Market Value</t>
        </is>
      </c>
      <c r="D42" s="35" t="n"/>
      <c r="E42" s="42" t="inlineStr">
        <is>
          <t>Assessment Level</t>
        </is>
      </c>
      <c r="F42" s="35" t="n"/>
      <c r="G42" s="42" t="inlineStr">
        <is>
          <t>Assessed Value</t>
        </is>
      </c>
      <c r="H42" s="35" t="n"/>
    </row>
    <row r="43" ht="15" customHeight="1">
      <c r="A43" s="22" t="inlineStr">
        <is>
          <t>Land 1</t>
        </is>
      </c>
      <c r="B43" s="22" t="inlineStr">
        <is>
          <t>Residential</t>
        </is>
      </c>
      <c r="C43" s="43" t="n">
        <v>76000</v>
      </c>
      <c r="D43" s="35" t="n"/>
      <c r="E43" s="73" t="n">
        <v>0.2</v>
      </c>
      <c r="F43" s="35" t="n"/>
      <c r="G43" s="43" t="n">
        <v>15200</v>
      </c>
      <c r="H43" s="35" t="n"/>
    </row>
    <row r="44" ht="15" customHeight="1">
      <c r="A44" s="22" t="inlineStr">
        <is>
          <t>Land 2</t>
        </is>
      </c>
      <c r="B44" s="22" t="inlineStr">
        <is>
          <t>Commercial</t>
        </is>
      </c>
      <c r="C44" s="43" t="n">
        <v>70000</v>
      </c>
      <c r="D44" s="35" t="n"/>
      <c r="E44" s="73" t="n">
        <v>0.3</v>
      </c>
      <c r="F44" s="35" t="n"/>
      <c r="G44" s="43" t="n">
        <v>21000</v>
      </c>
      <c r="H44" s="35" t="n"/>
    </row>
    <row r="45" ht="15" customHeight="1">
      <c r="A45" s="41" t="inlineStr">
        <is>
          <t>Improvement 1</t>
        </is>
      </c>
      <c r="B45" s="41" t="inlineStr">
        <is>
          <t>Agricultural</t>
        </is>
      </c>
      <c r="C45" s="43" t="n">
        <v>17500</v>
      </c>
      <c r="D45" s="35" t="n"/>
      <c r="E45" s="73" t="n">
        <v>0.4</v>
      </c>
      <c r="F45" s="35" t="n"/>
      <c r="G45" s="43" t="n">
        <v>7000</v>
      </c>
      <c r="H45" s="35" t="n"/>
    </row>
    <row r="46" ht="15" customHeight="1">
      <c r="A46" s="22" t="inlineStr">
        <is>
          <t>Improvement 2</t>
        </is>
      </c>
      <c r="B46" s="24" t="inlineStr">
        <is>
          <t>Agricultural</t>
        </is>
      </c>
      <c r="C46" s="43" t="n">
        <v>1550</v>
      </c>
      <c r="D46" s="35" t="n"/>
      <c r="E46" s="73" t="n">
        <v>0.5</v>
      </c>
      <c r="F46" s="35" t="n"/>
      <c r="G46" s="43" t="n">
        <v>780</v>
      </c>
      <c r="H46" s="35" t="n"/>
    </row>
    <row r="47" ht="15" customHeight="1">
      <c r="A47" s="41" t="inlineStr">
        <is>
          <t>TOTAL</t>
        </is>
      </c>
      <c r="B47" s="35" t="n"/>
      <c r="C47" s="43" t="n">
        <v>165050</v>
      </c>
      <c r="D47" s="35" t="n"/>
      <c r="E47" s="6" t="n"/>
      <c r="F47" s="7" t="n"/>
      <c r="G47" s="43">
        <f>IF(SUM(G43:H46)=0, "", SUM(G43:H46))</f>
        <v/>
      </c>
      <c r="H47" s="35" t="n"/>
    </row>
    <row r="48" ht="6.75" customHeight="1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D49" s="32" t="inlineStr">
        <is>
          <t>Appraised/Assessed by:</t>
        </is>
      </c>
    </row>
    <row r="50" ht="6.75" customHeight="1">
      <c r="A50" s="9" t="n"/>
    </row>
    <row r="51" ht="15" customHeight="1">
      <c r="A51" s="61" t="inlineStr">
        <is>
          <t>C47 Rounding Verification</t>
        </is>
      </c>
      <c r="B51" s="59" t="n"/>
      <c r="D51" s="71" t="inlineStr">
        <is>
          <t>VEMBER L. REFUGIO</t>
        </is>
      </c>
      <c r="E51" s="72" t="n"/>
      <c r="F51" s="9" t="n"/>
      <c r="G51" s="71" t="inlineStr">
        <is>
          <t>JONATHAN E. MAGTURO</t>
        </is>
      </c>
      <c r="H51" s="72" t="n"/>
    </row>
    <row r="52" ht="15" customHeight="1">
      <c r="A52" s="94" t="inlineStr">
        <is>
          <t>Owner/Administrator</t>
        </is>
      </c>
      <c r="B52" s="57" t="n"/>
      <c r="D52" s="74" t="inlineStr">
        <is>
          <t>Taxmapper I</t>
        </is>
      </c>
      <c r="E52" s="75" t="n"/>
      <c r="G52" s="74" t="inlineStr">
        <is>
          <t>Local Assessment Operation Officer I</t>
        </is>
      </c>
      <c r="H52" s="75" t="n"/>
    </row>
    <row r="53">
      <c r="A53" s="17" t="n"/>
      <c r="E53" s="9" t="n"/>
    </row>
    <row r="54">
      <c r="B54" s="9" t="n"/>
      <c r="C54" s="9" t="n"/>
      <c r="D54" s="95" t="inlineStr">
        <is>
          <t>Reviewed and Checked by:</t>
        </is>
      </c>
      <c r="F54" s="9" t="n"/>
      <c r="G54" s="95" t="inlineStr">
        <is>
          <t>Approved by:</t>
        </is>
      </c>
    </row>
    <row r="55" ht="6" customHeight="1">
      <c r="B55" s="9" t="n"/>
      <c r="C55" s="9" t="n"/>
      <c r="D55" s="18" t="n"/>
      <c r="E55" s="18" t="n"/>
      <c r="F55" s="9" t="n"/>
      <c r="G55" s="9" t="n"/>
      <c r="H55" s="9" t="n"/>
    </row>
    <row r="56" ht="15" customHeight="1">
      <c r="B56" s="9" t="n"/>
      <c r="C56" s="9" t="n"/>
      <c r="D56" s="71" t="inlineStr">
        <is>
          <t>RICARDO J. NIEVA REA-0000483</t>
        </is>
      </c>
      <c r="E56" s="72" t="n"/>
      <c r="F56" s="9" t="n"/>
      <c r="G56" s="61" t="inlineStr">
        <is>
          <t>REENA N. AURIN  REA-0005811</t>
        </is>
      </c>
      <c r="H56" s="59" t="n"/>
    </row>
    <row r="57" ht="15" customHeight="1">
      <c r="D57" s="74" t="inlineStr">
        <is>
          <t>Municipal Assessor</t>
        </is>
      </c>
      <c r="E57" s="75" t="n"/>
      <c r="F57" s="91" t="n"/>
      <c r="G57" s="91" t="inlineStr">
        <is>
          <t>Provincial Assessor</t>
        </is>
      </c>
    </row>
    <row r="58" ht="6.75" customHeight="1"/>
    <row r="59" ht="15" customHeight="1">
      <c r="A59" s="9" t="inlineStr">
        <is>
          <t>MEMORANDA:</t>
        </is>
      </c>
      <c r="B59" s="93" t="n"/>
      <c r="C59" s="59" t="n"/>
      <c r="D59" s="59" t="n"/>
    </row>
    <row r="60" ht="14.25" customHeight="1">
      <c r="A60" s="107" t="n"/>
      <c r="B60" s="57" t="n"/>
      <c r="C60" s="57" t="n"/>
      <c r="D60" s="57" t="n"/>
      <c r="E60" s="57" t="n"/>
      <c r="F60" s="57" t="n"/>
      <c r="G60" s="57" t="n"/>
      <c r="H60" s="101" t="n"/>
    </row>
    <row r="61" ht="14.25" customHeight="1">
      <c r="A61" s="108" t="n"/>
      <c r="H61" s="109" t="n"/>
    </row>
    <row r="62" ht="20.25" customHeight="1">
      <c r="A62" s="102" t="n"/>
      <c r="B62" s="59" t="n"/>
      <c r="C62" s="59" t="n"/>
      <c r="D62" s="59" t="n"/>
      <c r="E62" s="59" t="n"/>
      <c r="F62" s="59" t="n"/>
      <c r="G62" s="59" t="n"/>
      <c r="H62" s="103" t="n"/>
    </row>
    <row r="63">
      <c r="A63" s="12" t="inlineStr">
        <is>
          <t>D. RECORD OF SUPERSEDED ASSESSMENT</t>
        </is>
      </c>
      <c r="B63" s="10" t="n"/>
      <c r="C63" s="10" t="n"/>
      <c r="D63" s="10" t="n"/>
      <c r="E63" s="10" t="n"/>
      <c r="F63" s="10" t="n"/>
      <c r="H63" s="15" t="n"/>
    </row>
    <row r="64" ht="15" customHeight="1">
      <c r="A64" s="54" t="inlineStr">
        <is>
          <t>Previous T.D. No.:</t>
        </is>
      </c>
      <c r="B64" s="92" t="n"/>
      <c r="C64" s="53" t="n"/>
      <c r="D64" s="19" t="inlineStr">
        <is>
          <t>Effectivity:</t>
        </is>
      </c>
      <c r="E64" s="22" t="n"/>
      <c r="F64" s="52" t="inlineStr">
        <is>
          <t>Previous AV - Land:</t>
        </is>
      </c>
      <c r="G64" s="53" t="n"/>
      <c r="H64" s="43" t="n"/>
    </row>
    <row r="65" ht="15" customHeight="1">
      <c r="A65" s="54" t="inlineStr">
        <is>
          <t>Previous Owner:</t>
        </is>
      </c>
      <c r="B65" s="76" t="n"/>
      <c r="C65" s="77" t="n"/>
      <c r="D65" s="54" t="inlineStr">
        <is>
          <t>Taxability:</t>
        </is>
      </c>
      <c r="E65" s="92" t="n"/>
      <c r="F65" s="52" t="inlineStr">
        <is>
          <t>Previous AV - Improvements:</t>
        </is>
      </c>
      <c r="G65" s="53" t="n"/>
      <c r="H65" s="43" t="n"/>
    </row>
    <row r="66" ht="15" customHeight="1">
      <c r="A66" s="55" t="n"/>
      <c r="B66" s="58" t="n"/>
      <c r="C66" s="78" t="n"/>
      <c r="D66" s="55" t="n"/>
      <c r="E66" s="55" t="n"/>
      <c r="F66" s="52" t="inlineStr">
        <is>
          <t>Previous Total AV:</t>
        </is>
      </c>
      <c r="G66" s="53" t="n"/>
      <c r="H66" s="43">
        <f>IF(SUM(H64:H65)=0, "", MROUND(SUM(H64:H65), 10))</f>
        <v/>
      </c>
    </row>
    <row r="67">
      <c r="H67" s="43" t="n"/>
    </row>
    <row r="68" ht="15" customHeight="1">
      <c r="A68" s="54" t="inlineStr">
        <is>
          <t>Previous T.D. No.:</t>
        </is>
      </c>
      <c r="B68" s="51" t="inlineStr">
        <is>
          <t>ENTRY-2</t>
        </is>
      </c>
      <c r="C68" s="110" t="n"/>
      <c r="D68" s="6" t="n"/>
      <c r="E68" s="27" t="n"/>
      <c r="F68" s="52" t="inlineStr">
        <is>
          <t>Previous AV - Land:</t>
        </is>
      </c>
      <c r="G68" s="53" t="n"/>
      <c r="H68" s="43" t="n"/>
    </row>
    <row r="69" ht="15" customHeight="1">
      <c r="A69" s="54" t="inlineStr">
        <is>
          <t>Previous Owner:</t>
        </is>
      </c>
      <c r="B69" s="56" t="n"/>
      <c r="C69" s="101" t="n"/>
      <c r="D69" s="28" t="n"/>
      <c r="E69" s="25" t="n"/>
      <c r="F69" s="52" t="inlineStr">
        <is>
          <t>Previous AV - Improvements:</t>
        </is>
      </c>
      <c r="G69" s="53" t="n"/>
      <c r="H69" s="43" t="n"/>
    </row>
    <row r="70" ht="15" customHeight="1">
      <c r="A70" s="55" t="n"/>
      <c r="B70" s="102" t="n"/>
      <c r="C70" s="103" t="n"/>
      <c r="D70" s="29" t="n"/>
      <c r="E70" s="26" t="n"/>
      <c r="F70" s="52" t="inlineStr">
        <is>
          <t>Previous Total AV:</t>
        </is>
      </c>
      <c r="G70" s="53" t="n"/>
      <c r="H70" s="43">
        <f>IF(SUM(H68:H69)=0, "", MROUND(SUM(H68:H69), 10))</f>
        <v/>
      </c>
    </row>
  </sheetData>
  <mergeCells count="135">
    <mergeCell ref="G21:H21"/>
    <mergeCell ref="E8:E9"/>
    <mergeCell ref="A51:B51"/>
    <mergeCell ref="F68:G68"/>
    <mergeCell ref="E23:F23"/>
    <mergeCell ref="G23:H23"/>
    <mergeCell ref="E10:E11"/>
    <mergeCell ref="E65:E66"/>
    <mergeCell ref="G57:H57"/>
    <mergeCell ref="B16:H16"/>
    <mergeCell ref="F70:G70"/>
    <mergeCell ref="B6:D6"/>
    <mergeCell ref="C43:D43"/>
    <mergeCell ref="B18:H18"/>
    <mergeCell ref="F14:H14"/>
    <mergeCell ref="A33:B33"/>
    <mergeCell ref="E36:F36"/>
    <mergeCell ref="A5:H5"/>
    <mergeCell ref="D56:E56"/>
    <mergeCell ref="A22:B22"/>
    <mergeCell ref="A35:B35"/>
    <mergeCell ref="B64:C64"/>
    <mergeCell ref="D51:E51"/>
    <mergeCell ref="A28:B28"/>
    <mergeCell ref="C28:D28"/>
    <mergeCell ref="E22:F22"/>
    <mergeCell ref="G44:H44"/>
    <mergeCell ref="F7:H7"/>
    <mergeCell ref="G22:H22"/>
    <mergeCell ref="A39:B39"/>
    <mergeCell ref="A30:B30"/>
    <mergeCell ref="C30:D30"/>
    <mergeCell ref="A15:H15"/>
    <mergeCell ref="C45:D45"/>
    <mergeCell ref="A65:A66"/>
    <mergeCell ref="E38:F38"/>
    <mergeCell ref="C47:D47"/>
    <mergeCell ref="G38:H38"/>
    <mergeCell ref="A60:H62"/>
    <mergeCell ref="A37:B37"/>
    <mergeCell ref="E40:F40"/>
    <mergeCell ref="A27:H27"/>
    <mergeCell ref="F66:G66"/>
    <mergeCell ref="A26:B26"/>
    <mergeCell ref="A8:A9"/>
    <mergeCell ref="G24:H24"/>
    <mergeCell ref="A2:H2"/>
    <mergeCell ref="G33:H33"/>
    <mergeCell ref="A10:A11"/>
    <mergeCell ref="E26:F26"/>
    <mergeCell ref="G26:H26"/>
    <mergeCell ref="G35:H35"/>
    <mergeCell ref="B59:D59"/>
    <mergeCell ref="A52:B52"/>
    <mergeCell ref="B17:H17"/>
    <mergeCell ref="E25:F25"/>
    <mergeCell ref="A20:H20"/>
    <mergeCell ref="G25:H25"/>
    <mergeCell ref="B19:H19"/>
    <mergeCell ref="F64:G64"/>
    <mergeCell ref="D65:D66"/>
    <mergeCell ref="B14:D14"/>
    <mergeCell ref="G42:H42"/>
    <mergeCell ref="A36:B36"/>
    <mergeCell ref="B13:D13"/>
    <mergeCell ref="E39:F39"/>
    <mergeCell ref="G39:H39"/>
    <mergeCell ref="E44:F44"/>
    <mergeCell ref="B65:C66"/>
    <mergeCell ref="C29:D29"/>
    <mergeCell ref="F10:H11"/>
    <mergeCell ref="D52:E52"/>
    <mergeCell ref="E29:F29"/>
    <mergeCell ref="F13:H13"/>
    <mergeCell ref="G37:H37"/>
    <mergeCell ref="A41:H41"/>
    <mergeCell ref="C44:D44"/>
    <mergeCell ref="C31:D31"/>
    <mergeCell ref="E31:F31"/>
    <mergeCell ref="B8:D9"/>
    <mergeCell ref="A21:B21"/>
    <mergeCell ref="C46:D46"/>
    <mergeCell ref="E46:F46"/>
    <mergeCell ref="A32:B32"/>
    <mergeCell ref="F8:H9"/>
    <mergeCell ref="A23:B23"/>
    <mergeCell ref="G51:H51"/>
    <mergeCell ref="A38:B38"/>
    <mergeCell ref="F6:H6"/>
    <mergeCell ref="C32:D32"/>
    <mergeCell ref="E32:F32"/>
    <mergeCell ref="G54:H54"/>
    <mergeCell ref="G32:H32"/>
    <mergeCell ref="D54:E54"/>
    <mergeCell ref="A40:B40"/>
    <mergeCell ref="G56:H56"/>
    <mergeCell ref="A34:H34"/>
    <mergeCell ref="E43:F43"/>
    <mergeCell ref="G43:H43"/>
    <mergeCell ref="A24:B24"/>
    <mergeCell ref="B69:C70"/>
    <mergeCell ref="F69:G69"/>
    <mergeCell ref="G52:H52"/>
    <mergeCell ref="E24:F24"/>
    <mergeCell ref="C33:D33"/>
    <mergeCell ref="F65:G65"/>
    <mergeCell ref="C42:D42"/>
    <mergeCell ref="A69:A70"/>
    <mergeCell ref="E33:F33"/>
    <mergeCell ref="E42:F42"/>
    <mergeCell ref="G36:H36"/>
    <mergeCell ref="A1:H1"/>
    <mergeCell ref="E35:F35"/>
    <mergeCell ref="A25:B25"/>
    <mergeCell ref="D57:E57"/>
    <mergeCell ref="E28:F28"/>
    <mergeCell ref="G28:H28"/>
    <mergeCell ref="A12:H12"/>
    <mergeCell ref="E30:F30"/>
    <mergeCell ref="G30:H30"/>
    <mergeCell ref="A47:B47"/>
    <mergeCell ref="E45:F45"/>
    <mergeCell ref="G45:H45"/>
    <mergeCell ref="B7:D7"/>
    <mergeCell ref="G29:H29"/>
    <mergeCell ref="B68:C68"/>
    <mergeCell ref="B10:D11"/>
    <mergeCell ref="A29:B29"/>
    <mergeCell ref="G47:H47"/>
    <mergeCell ref="E37:F37"/>
    <mergeCell ref="G31:H31"/>
    <mergeCell ref="G46:H46"/>
    <mergeCell ref="G40:H40"/>
    <mergeCell ref="A31:B31"/>
    <mergeCell ref="E21:F21"/>
  </mergeCells>
  <conditionalFormatting sqref="D22:D25">
    <cfRule type="expression" priority="3" dxfId="0">
      <formula>D22=TRUNC(D22)</formula>
    </cfRule>
  </conditionalFormatting>
  <printOptions horizontalCentered="1"/>
  <pageMargins left="0.25" right="0.25" top="0.75" bottom="0.25" header="0.3" footer="0.3"/>
  <pageSetup orientation="portrait" paperSize="5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2026-01-06T00:31:05Z</dcterms:created>
  <dcterms:modified xsi:type="dcterms:W3CDTF">2026-07-30T07:31:32Z</dcterms:modified>
  <cp:lastModifiedBy>admin</cp:lastModifiedBy>
  <cp:lastPrinted>2026-02-23T01:52:07Z</cp:lastPrinted>
</cp:coreProperties>
</file>