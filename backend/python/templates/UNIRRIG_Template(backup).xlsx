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Videos\FAAS SYSTEM\backend\python\templates\"/>
    </mc:Choice>
  </mc:AlternateContent>
  <xr:revisionPtr revIDLastSave="0" documentId="13_ncr:1_{40C4A94C-A906-4A20-921D-F695202DFB4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Sheet1!$A$1:$K$68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3" i="1" l="1" a="1"/>
  <c r="K43" i="1" s="1"/>
  <c r="K44" i="1" a="1"/>
  <c r="K44" i="1" s="1"/>
  <c r="K45" i="1" a="1"/>
  <c r="K45" i="1" s="1"/>
  <c r="K42" i="1" a="1"/>
  <c r="K42" i="1" s="1"/>
  <c r="J43" i="1" a="1"/>
  <c r="J43" i="1" s="1"/>
  <c r="J44" i="1" a="1"/>
  <c r="J44" i="1" s="1"/>
  <c r="J45" i="1" a="1"/>
  <c r="J45" i="1" s="1"/>
  <c r="J42" i="1" a="1"/>
  <c r="J42" i="1" s="1"/>
  <c r="J61" i="1"/>
  <c r="I34" i="1" a="1"/>
  <c r="I34" i="1" s="1"/>
  <c r="J34" i="1" s="1"/>
  <c r="I33" i="1" a="1"/>
  <c r="I33" i="1" s="1"/>
  <c r="J33" i="1" s="1"/>
  <c r="I32" i="1" a="1"/>
  <c r="I32" i="1" s="1"/>
  <c r="J32" i="1" s="1"/>
  <c r="I31" i="1" a="1"/>
  <c r="I31" i="1" s="1"/>
  <c r="J31" i="1" s="1"/>
  <c r="I30" i="1" a="1"/>
  <c r="I30" i="1" s="1"/>
  <c r="J30" i="1" s="1"/>
  <c r="I29" i="1" a="1"/>
  <c r="I29" i="1" s="1"/>
  <c r="J29" i="1" s="1"/>
  <c r="I28" i="1" a="1"/>
  <c r="I28" i="1" s="1"/>
  <c r="J28" i="1" s="1"/>
  <c r="K53" i="1" l="1"/>
  <c r="K52" i="1"/>
  <c r="J3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<sst xmlns="http://schemas.openxmlformats.org/spreadsheetml/2006/main" count="97" uniqueCount="64">
  <si>
    <t>PROPERTY INDEX NO.</t>
  </si>
  <si>
    <t>RPA Form No. 1</t>
  </si>
  <si>
    <t>TAX DECLARATION NO.</t>
  </si>
  <si>
    <t xml:space="preserve">      DECLARATION OF REAL PROPERTY</t>
  </si>
  <si>
    <t>(FILED UNDER REPUBLIC ACT. NO. 7160)</t>
  </si>
  <si>
    <t>Owner</t>
  </si>
  <si>
    <t xml:space="preserve">                                                                                                                                                                                                             Address</t>
  </si>
  <si>
    <t>Administrator</t>
  </si>
  <si>
    <t xml:space="preserve">                                                                                                                                                                                                                Address</t>
  </si>
  <si>
    <t>DESCRIPTION AND OTHER PARTICULARS OF PROPERTY</t>
  </si>
  <si>
    <t xml:space="preserve">Location of Property   </t>
  </si>
  <si>
    <t>Number and Street</t>
  </si>
  <si>
    <t>(Barangay/District)</t>
  </si>
  <si>
    <t>(Municipality/City/Province)</t>
  </si>
  <si>
    <t>Certificate of Title No.</t>
  </si>
  <si>
    <t>Cadastral Lot No.</t>
  </si>
  <si>
    <t>Assessor's Lot No.</t>
  </si>
  <si>
    <t>Boundaries</t>
  </si>
  <si>
    <t>Block No.</t>
  </si>
  <si>
    <t>North</t>
  </si>
  <si>
    <t>South</t>
  </si>
  <si>
    <t>East</t>
  </si>
  <si>
    <t>West</t>
  </si>
  <si>
    <t>(State streets, lots, or streams by which bounded or names of owners of adjoining lands)</t>
  </si>
  <si>
    <t>I (a) LAND (AGRICULTURAL/MINERAL)</t>
  </si>
  <si>
    <t>OWNER'S DECLARATTION</t>
  </si>
  <si>
    <t>ASSESOR'S FINDINGS</t>
  </si>
  <si>
    <t>Kind</t>
  </si>
  <si>
    <t>Area</t>
  </si>
  <si>
    <t>Value</t>
  </si>
  <si>
    <t>Class</t>
  </si>
  <si>
    <t>Unit Values</t>
  </si>
  <si>
    <t>Market Values</t>
  </si>
  <si>
    <t xml:space="preserve"> </t>
  </si>
  <si>
    <t>Total</t>
  </si>
  <si>
    <t>₱</t>
  </si>
  <si>
    <t xml:space="preserve">Total Adjusted Market Value </t>
  </si>
  <si>
    <t>______________________________________________________________________________________________________________________________</t>
  </si>
  <si>
    <t>I (b) PLANT &amp; TREES</t>
  </si>
  <si>
    <t>OWNER'S DECLARATION</t>
  </si>
  <si>
    <t xml:space="preserve">                                     </t>
  </si>
  <si>
    <t xml:space="preserve">Number and                   Kind </t>
  </si>
  <si>
    <t>Annual Product (Quality)</t>
  </si>
  <si>
    <t>Annual Product          (Quantity)</t>
  </si>
  <si>
    <t>Market                                    Value</t>
  </si>
  <si>
    <t xml:space="preserve">Based Market  </t>
  </si>
  <si>
    <t>Adjustment:</t>
  </si>
  <si>
    <t xml:space="preserve">(a) Along--or </t>
  </si>
  <si>
    <t xml:space="preserve">no.rd.frontage </t>
  </si>
  <si>
    <t>(b) ____________</t>
  </si>
  <si>
    <t>kms. to all</t>
  </si>
  <si>
    <t xml:space="preserve">     weather rd.</t>
  </si>
  <si>
    <t>(c) _____________</t>
  </si>
  <si>
    <t>Kms to</t>
  </si>
  <si>
    <t xml:space="preserve">  market(pob)</t>
  </si>
  <si>
    <t>Total Adjustment</t>
  </si>
  <si>
    <t>Total Adjustment Market Value</t>
  </si>
  <si>
    <t>II LAND (RESIDENTIAL, COMMERCIAL, INDUSTRIAL, SPECIAL)</t>
  </si>
  <si>
    <t>ASSESSOR'S FINDINGS</t>
  </si>
  <si>
    <t>Adjustment</t>
  </si>
  <si>
    <t>Market Value</t>
  </si>
  <si>
    <t>Note:</t>
  </si>
  <si>
    <t>Unit Value</t>
  </si>
  <si>
    <t xml:space="preserve">Number and Kind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</si>
</sst>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₱-464]#,##0.00"/>
    <numFmt numFmtId="165" formatCode="[$₱-3409]#,##0.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4" xfId="0" applyBorder="1"/>
    <xf numFmtId="0" fontId="0" fillId="0" borderId="2" xfId="0" applyBorder="1"/>
    <xf numFmtId="0" fontId="0" fillId="0" borderId="13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8" xfId="0" applyBorder="1"/>
    <xf numFmtId="0" fontId="0" fillId="0" borderId="13" xfId="0" applyBorder="1" applyAlignment="1">
      <alignment horizontal="center"/>
    </xf>
    <xf numFmtId="0" fontId="0" fillId="0" borderId="5" xfId="0" applyBorder="1"/>
    <xf numFmtId="0" fontId="0" fillId="0" borderId="11" xfId="0" applyBorder="1"/>
    <xf numFmtId="0" fontId="0" fillId="0" borderId="3" xfId="0" applyBorder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14" xfId="0" applyFont="1" applyBorder="1"/>
    <xf numFmtId="0" fontId="12" fillId="0" borderId="2" xfId="0" applyFont="1" applyBorder="1" applyAlignment="1">
      <alignment horizontal="center"/>
    </xf>
    <xf numFmtId="0" fontId="7" fillId="0" borderId="2" xfId="0" applyFont="1" applyBorder="1"/>
    <xf numFmtId="0" fontId="7" fillId="0" borderId="3" xfId="0" applyFont="1" applyBorder="1" applyAlignment="1">
      <alignment horizontal="center"/>
    </xf>
    <xf numFmtId="0" fontId="9" fillId="0" borderId="2" xfId="0" applyFont="1" applyBorder="1"/>
    <xf numFmtId="0" fontId="7" fillId="0" borderId="6" xfId="0" applyFont="1" applyBorder="1"/>
    <xf numFmtId="0" fontId="7" fillId="0" borderId="13" xfId="0" applyFont="1" applyBorder="1"/>
    <xf numFmtId="0" fontId="8" fillId="0" borderId="3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10" xfId="0" applyFont="1" applyBorder="1"/>
    <xf numFmtId="0" fontId="12" fillId="0" borderId="10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11" xfId="0" applyFont="1" applyBorder="1" applyAlignment="1">
      <alignment horizontal="left"/>
    </xf>
    <xf numFmtId="0" fontId="12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wrapText="1"/>
    </xf>
    <xf numFmtId="0" fontId="7" fillId="0" borderId="2" xfId="0" applyFont="1" applyBorder="1" applyAlignment="1">
      <alignment vertical="center"/>
    </xf>
    <xf numFmtId="0" fontId="12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3" xfId="0" applyFont="1" applyBorder="1" applyAlignment="1">
      <alignment vertical="center"/>
    </xf>
    <xf numFmtId="0" fontId="7" fillId="0" borderId="8" xfId="0" applyFont="1" applyBorder="1"/>
    <xf numFmtId="0" fontId="7" fillId="0" borderId="6" xfId="0" applyFont="1" applyBorder="1" applyAlignment="1">
      <alignment vertical="center"/>
    </xf>
    <xf numFmtId="0" fontId="12" fillId="0" borderId="0" xfId="0" applyFont="1" applyAlignment="1">
      <alignment horizontal="right"/>
    </xf>
    <xf numFmtId="0" fontId="7" fillId="0" borderId="5" xfId="0" applyFont="1" applyBorder="1"/>
    <xf numFmtId="0" fontId="12" fillId="0" borderId="0" xfId="0" applyFont="1"/>
    <xf numFmtId="0" fontId="7" fillId="0" borderId="0" xfId="0" applyFont="1" applyAlignment="1">
      <alignment vertical="center"/>
    </xf>
    <xf numFmtId="0" fontId="12" fillId="0" borderId="14" xfId="0" applyFont="1" applyBorder="1"/>
    <xf numFmtId="0" fontId="12" fillId="0" borderId="3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7" fillId="0" borderId="3" xfId="0" applyFont="1" applyBorder="1"/>
    <xf numFmtId="0" fontId="7" fillId="0" borderId="9" xfId="0" applyFont="1" applyBorder="1"/>
    <xf numFmtId="0" fontId="13" fillId="0" borderId="8" xfId="0" applyFont="1" applyBorder="1" applyAlignment="1">
      <alignment horizontal="left"/>
    </xf>
    <xf numFmtId="0" fontId="14" fillId="0" borderId="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wrapText="1"/>
    </xf>
    <xf numFmtId="0" fontId="14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9" xfId="0" applyBorder="1" applyAlignment="1">
      <alignment horizontal="left"/>
    </xf>
    <xf numFmtId="0" fontId="0" fillId="0" borderId="2" xfId="0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7" fillId="0" borderId="5" xfId="0" applyFont="1" applyBorder="1" applyAlignment="1">
      <alignment vertical="center"/>
    </xf>
    <xf numFmtId="4" fontId="11" fillId="0" borderId="2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165" fontId="17" fillId="0" borderId="2" xfId="0" applyNumberFormat="1" applyFont="1" applyBorder="1"/>
    <xf numFmtId="0" fontId="10" fillId="0" borderId="1" xfId="0" applyFont="1" applyBorder="1" applyAlignment="1">
      <alignment horizontal="center"/>
    </xf>
    <xf numFmtId="0" fontId="7" fillId="0" borderId="0" xfId="0" applyFont="1" applyAlignment="1">
      <alignment horizontal="right" vertical="center"/>
    </xf>
    <xf numFmtId="44" fontId="10" fillId="0" borderId="1" xfId="0" applyNumberFormat="1" applyFont="1" applyBorder="1" applyAlignment="1">
      <alignment horizontal="center" vertical="center"/>
    </xf>
    <xf numFmtId="9" fontId="14" fillId="0" borderId="8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 vertical="top"/>
    </xf>
    <xf numFmtId="0" fontId="0" fillId="0" borderId="9" xfId="0" applyBorder="1"/>
    <xf numFmtId="0" fontId="0" fillId="0" borderId="12" xfId="0" applyBorder="1"/>
    <xf numFmtId="0" fontId="0" fillId="0" borderId="10" xfId="0" applyBorder="1"/>
    <xf numFmtId="0" fontId="0" fillId="0" borderId="0" xfId="0"/>
    <xf numFmtId="0" fontId="0" fillId="0" borderId="11" xfId="0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8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/>
    </xf>
    <xf numFmtId="4" fontId="11" fillId="0" borderId="2" xfId="0" applyNumberFormat="1" applyFont="1" applyBorder="1" applyAlignment="1">
      <alignment horizontal="center" vertical="center"/>
    </xf>
    <xf numFmtId="4" fontId="0" fillId="0" borderId="5" xfId="0" applyNumberFormat="1" applyBorder="1"/>
    <xf numFmtId="0" fontId="0" fillId="0" borderId="13" xfId="0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horizontal="left"/>
    </xf>
    <xf numFmtId="0" fontId="3" fillId="0" borderId="4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11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1" fillId="0" borderId="2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/>
    </xf>
    <xf numFmtId="164" fontId="14" fillId="0" borderId="2" xfId="0" applyNumberFormat="1" applyFont="1" applyBorder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0" fillId="0" borderId="5" xfId="0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0" fontId="15" fillId="0" borderId="5" xfId="0" applyFont="1" applyBorder="1"/>
    <xf numFmtId="0" fontId="3" fillId="0" borderId="8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0" fillId="0" borderId="13" xfId="0" applyBorder="1"/>
    <xf numFmtId="0" fontId="12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164" fontId="14" fillId="0" borderId="2" xfId="0" applyNumberFormat="1" applyFont="1" applyBorder="1" applyAlignment="1">
      <alignment horizontal="left"/>
    </xf>
    <xf numFmtId="164" fontId="1" fillId="0" borderId="5" xfId="0" applyNumberFormat="1" applyFont="1" applyBorder="1"/>
    <xf numFmtId="0" fontId="13" fillId="0" borderId="12" xfId="0" applyFont="1" applyBorder="1" applyAlignment="1">
      <alignment horizontal="center" vertical="center"/>
    </xf>
    <xf numFmtId="0" fontId="15" fillId="0" borderId="12" xfId="0" applyFont="1" applyBorder="1"/>
    <xf numFmtId="0" fontId="5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 indent="1"/>
    </xf>
    <xf numFmtId="0" fontId="4" fillId="0" borderId="0" xfId="0" applyFont="1"/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/>
    </xf>
    <xf numFmtId="0" fontId="10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6" fillId="0" borderId="5" xfId="0" applyFont="1" applyBorder="1"/>
    <xf numFmtId="0" fontId="14" fillId="0" borderId="1" xfId="0" applyFont="1" applyBorder="1" applyAlignment="1">
      <alignment horizontal="left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68"/>
  <sheetViews>
    <sheetView view="pageBreakPreview" topLeftCell="A4" zoomScale="70" zoomScaleNormal="160" zoomScaleSheetLayoutView="70" workbookViewId="0">
      <selection activeCell="L66" sqref="L66"/>
    </sheetView>
  </sheetViews>
  <sheetFormatPr defaultRowHeight="15" x14ac:dyDescent="0.25"/>
  <cols>
    <col min="1" max="1" width="13.140625" customWidth="1"/>
    <col min="2" max="2" width="11" customWidth="1"/>
    <col min="3" max="3" width="9.5703125" customWidth="1"/>
    <col min="4" max="4" width="0.85546875" customWidth="1"/>
    <col min="5" max="5" width="12.28515625" customWidth="1"/>
    <col min="6" max="6" width="3.5703125" hidden="1" customWidth="1"/>
    <col min="7" max="7" width="16.7109375" customWidth="1"/>
    <col min="8" max="8" width="24.140625" customWidth="1"/>
    <col min="9" max="9" width="13.7109375" customWidth="1"/>
    <col min="10" max="10" width="17.85546875" customWidth="1"/>
    <col min="11" max="11" width="15.140625" customWidth="1"/>
  </cols>
  <sheetData>
    <row r="3" spans="1:11" x14ac:dyDescent="0.25">
      <c r="H3" s="139" t="s">
        <v>0</v>
      </c>
      <c r="I3" s="89"/>
      <c r="J3" s="126"/>
      <c r="K3" s="92"/>
    </row>
    <row r="4" spans="1:11" x14ac:dyDescent="0.25">
      <c r="A4" s="140" t="s">
        <v>1</v>
      </c>
      <c r="B4" s="89"/>
      <c r="C4" s="89"/>
      <c r="D4" s="89"/>
      <c r="E4" s="89"/>
    </row>
    <row r="5" spans="1:11" x14ac:dyDescent="0.25">
      <c r="A5" s="143" t="s">
        <v>2</v>
      </c>
      <c r="B5" s="89"/>
      <c r="C5" s="95"/>
      <c r="D5" s="92"/>
      <c r="E5" s="92"/>
      <c r="F5" s="92"/>
      <c r="G5" s="92"/>
    </row>
    <row r="6" spans="1:11" x14ac:dyDescent="0.25">
      <c r="A6" s="13"/>
      <c r="B6" s="13"/>
      <c r="C6" s="13"/>
      <c r="D6" s="13"/>
      <c r="E6" s="13"/>
    </row>
    <row r="7" spans="1:11" ht="18.75" customHeight="1" x14ac:dyDescent="0.3">
      <c r="A7" s="11"/>
      <c r="C7" s="141" t="s">
        <v>3</v>
      </c>
      <c r="D7" s="89"/>
      <c r="E7" s="89"/>
      <c r="F7" s="89"/>
      <c r="G7" s="89"/>
      <c r="H7" s="89"/>
      <c r="I7" s="89"/>
    </row>
    <row r="8" spans="1:11" x14ac:dyDescent="0.25">
      <c r="A8" s="138" t="s">
        <v>4</v>
      </c>
      <c r="B8" s="89"/>
      <c r="C8" s="89"/>
      <c r="D8" s="89"/>
      <c r="E8" s="89"/>
      <c r="F8" s="89"/>
      <c r="G8" s="89"/>
      <c r="H8" s="89"/>
      <c r="I8" s="89"/>
      <c r="J8" s="89"/>
      <c r="K8" s="89"/>
    </row>
    <row r="11" spans="1:11" x14ac:dyDescent="0.25">
      <c r="A11" s="13" t="s">
        <v>5</v>
      </c>
      <c r="B11" s="126"/>
      <c r="C11" s="92"/>
      <c r="D11" s="92"/>
      <c r="E11" s="92"/>
      <c r="F11" s="92"/>
      <c r="G11" s="92"/>
      <c r="H11" s="126"/>
      <c r="I11" s="92"/>
      <c r="J11" s="92"/>
      <c r="K11" s="92"/>
    </row>
    <row r="12" spans="1:11" ht="12" customHeight="1" x14ac:dyDescent="0.25">
      <c r="A12" s="142" t="s">
        <v>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</row>
    <row r="13" spans="1:11" x14ac:dyDescent="0.25">
      <c r="A13" s="13" t="s">
        <v>7</v>
      </c>
      <c r="B13" s="126"/>
      <c r="C13" s="92"/>
      <c r="D13" s="92"/>
      <c r="E13" s="92"/>
      <c r="F13" s="92"/>
      <c r="G13" s="92"/>
      <c r="H13" s="126"/>
      <c r="I13" s="92"/>
      <c r="J13" s="92"/>
      <c r="K13" s="92"/>
    </row>
    <row r="14" spans="1:11" ht="12" customHeight="1" x14ac:dyDescent="0.25">
      <c r="A14" s="144" t="s">
        <v>8</v>
      </c>
      <c r="B14" s="89"/>
      <c r="C14" s="89"/>
      <c r="D14" s="89"/>
      <c r="E14" s="89"/>
      <c r="F14" s="89"/>
      <c r="G14" s="89"/>
      <c r="H14" s="89"/>
      <c r="I14" s="89"/>
      <c r="J14" s="89"/>
      <c r="K14" s="89"/>
    </row>
    <row r="16" spans="1:11" ht="18" customHeight="1" x14ac:dyDescent="0.25">
      <c r="A16" s="104" t="s">
        <v>9</v>
      </c>
      <c r="B16" s="89"/>
      <c r="C16" s="89"/>
      <c r="D16" s="89"/>
      <c r="E16" s="89"/>
      <c r="F16" s="89"/>
      <c r="G16" s="89"/>
      <c r="H16" s="89"/>
      <c r="I16" s="89"/>
      <c r="J16" s="89"/>
      <c r="K16" s="89"/>
    </row>
    <row r="17" spans="1:11" ht="18" customHeight="1" x14ac:dyDescent="0.25">
      <c r="A17" s="112" t="s">
        <v>10</v>
      </c>
      <c r="B17" s="89"/>
      <c r="C17" s="105"/>
      <c r="D17" s="92"/>
      <c r="E17" s="92"/>
      <c r="F17" s="26"/>
      <c r="G17" s="105"/>
      <c r="H17" s="92"/>
      <c r="I17" s="105"/>
      <c r="J17" s="92"/>
      <c r="K17" s="92"/>
    </row>
    <row r="18" spans="1:11" ht="13.5" customHeight="1" x14ac:dyDescent="0.25">
      <c r="A18" s="27"/>
      <c r="B18" s="27"/>
      <c r="C18" s="106" t="s">
        <v>11</v>
      </c>
      <c r="D18" s="89"/>
      <c r="E18" s="89"/>
      <c r="F18" s="27"/>
      <c r="G18" s="106" t="s">
        <v>12</v>
      </c>
      <c r="H18" s="89"/>
      <c r="I18" s="106" t="s">
        <v>13</v>
      </c>
      <c r="J18" s="89"/>
      <c r="K18" s="89"/>
    </row>
    <row r="19" spans="1:11" ht="18" customHeight="1" x14ac:dyDescent="0.25">
      <c r="A19" s="112" t="s">
        <v>14</v>
      </c>
      <c r="B19" s="89"/>
      <c r="C19" s="155"/>
      <c r="D19" s="156"/>
      <c r="E19" s="156"/>
      <c r="F19" s="25"/>
      <c r="G19" s="28" t="s">
        <v>15</v>
      </c>
      <c r="H19" s="152"/>
      <c r="I19" s="152"/>
      <c r="J19" s="27" t="s">
        <v>16</v>
      </c>
      <c r="K19" s="81"/>
    </row>
    <row r="20" spans="1:11" ht="14.25" customHeight="1" x14ac:dyDescent="0.25">
      <c r="A20" s="59" t="s">
        <v>17</v>
      </c>
      <c r="B20" s="59"/>
      <c r="C20" s="59"/>
      <c r="D20" s="59"/>
      <c r="E20" s="59"/>
      <c r="F20" s="59"/>
      <c r="G20" s="59"/>
      <c r="H20" s="59"/>
      <c r="I20" s="59"/>
      <c r="J20" s="82" t="s">
        <v>18</v>
      </c>
      <c r="K20" s="83"/>
    </row>
    <row r="21" spans="1:11" ht="12.75" customHeight="1" x14ac:dyDescent="0.25">
      <c r="A21" s="29" t="s">
        <v>19</v>
      </c>
      <c r="B21" s="114"/>
      <c r="C21" s="92"/>
      <c r="D21" s="92"/>
      <c r="E21" s="92"/>
      <c r="F21" s="92"/>
      <c r="G21" s="92"/>
      <c r="H21" s="30" t="s">
        <v>20</v>
      </c>
      <c r="I21" s="114"/>
      <c r="J21" s="92"/>
      <c r="K21" s="92"/>
    </row>
    <row r="22" spans="1:11" ht="12.75" customHeight="1" x14ac:dyDescent="0.25">
      <c r="A22" s="29" t="s">
        <v>21</v>
      </c>
      <c r="B22" s="111"/>
      <c r="C22" s="100"/>
      <c r="D22" s="100"/>
      <c r="E22" s="100"/>
      <c r="F22" s="100"/>
      <c r="G22" s="100"/>
      <c r="H22" s="31" t="s">
        <v>22</v>
      </c>
      <c r="I22" s="111"/>
      <c r="J22" s="100"/>
      <c r="K22" s="100"/>
    </row>
    <row r="23" spans="1:11" ht="11.25" customHeight="1" x14ac:dyDescent="0.25">
      <c r="A23" s="145" t="s">
        <v>23</v>
      </c>
      <c r="B23" s="89"/>
      <c r="C23" s="89"/>
      <c r="D23" s="89"/>
      <c r="E23" s="89"/>
      <c r="F23" s="89"/>
      <c r="G23" s="89"/>
      <c r="H23" s="89"/>
      <c r="I23" s="89"/>
      <c r="J23" s="89"/>
      <c r="K23" s="89"/>
    </row>
    <row r="24" spans="1:11" ht="8.25" customHeight="1" x14ac:dyDescent="0.25">
      <c r="A24" s="94"/>
      <c r="B24" s="92"/>
      <c r="C24" s="92"/>
      <c r="D24" s="92"/>
      <c r="E24" s="92"/>
      <c r="F24" s="92"/>
      <c r="G24" s="92"/>
      <c r="H24" s="92"/>
      <c r="I24" s="92"/>
      <c r="J24" s="92"/>
      <c r="K24" s="92"/>
    </row>
    <row r="25" spans="1:11" ht="21" customHeight="1" x14ac:dyDescent="0.25">
      <c r="A25" s="149" t="s">
        <v>24</v>
      </c>
      <c r="B25" s="86"/>
      <c r="C25" s="86"/>
      <c r="D25" s="86"/>
      <c r="E25" s="86"/>
      <c r="F25" s="86"/>
      <c r="G25" s="86"/>
      <c r="H25" s="86"/>
      <c r="I25" s="86"/>
      <c r="J25" s="86"/>
      <c r="K25" s="86"/>
    </row>
    <row r="26" spans="1:11" ht="15" customHeight="1" x14ac:dyDescent="0.25">
      <c r="A26" s="99" t="s">
        <v>25</v>
      </c>
      <c r="B26" s="100"/>
      <c r="C26" s="101"/>
      <c r="D26" s="32"/>
      <c r="E26" s="127" t="s">
        <v>26</v>
      </c>
      <c r="F26" s="100"/>
      <c r="G26" s="100"/>
      <c r="H26" s="100"/>
      <c r="I26" s="100"/>
      <c r="J26" s="100"/>
      <c r="K26" s="100"/>
    </row>
    <row r="27" spans="1:11" ht="15" customHeight="1" x14ac:dyDescent="0.25">
      <c r="A27" s="33" t="s">
        <v>27</v>
      </c>
      <c r="B27" s="33" t="s">
        <v>28</v>
      </c>
      <c r="C27" s="33" t="s">
        <v>29</v>
      </c>
      <c r="D27" s="60"/>
      <c r="E27" s="109" t="s">
        <v>27</v>
      </c>
      <c r="F27" s="101"/>
      <c r="G27" s="61" t="s">
        <v>28</v>
      </c>
      <c r="H27" s="33" t="s">
        <v>30</v>
      </c>
      <c r="I27" s="33" t="s">
        <v>31</v>
      </c>
      <c r="J27" s="132" t="s">
        <v>32</v>
      </c>
      <c r="K27" s="101"/>
    </row>
    <row r="28" spans="1:11" x14ac:dyDescent="0.25">
      <c r="A28" s="34"/>
      <c r="B28" s="34"/>
      <c r="C28" s="34"/>
      <c r="D28" s="32"/>
      <c r="E28" s="122"/>
      <c r="F28" s="123"/>
      <c r="G28" s="64"/>
      <c r="H28" s="62"/>
      <c r="I28" s="77" t="str">
        <f t="array" ref="I28">_xlfn.IFS(
    E28="COMMERCIAL", _xlfn.IFS(H28="C-1",1400, H28="C-2",1030, H28="C-3",850, H28="C-4",720, TRUE, ""),
    E28="RESIDENTIAL", _xlfn.IFS(H28="R-1",760, H28="R-2",610, H28="R-3",470, H28="R-4",280, H28="R-5",200, TRUE, ""),
    E28="COCONUT LAND", _xlfn.IFS(OR(H28=1,H28="1"),93830, OR(H28=2,H28="2"),84500, OR(H28=3,H28="3"),76130, TRUE, ""),
    E28="RICE LAND W/ IRRIGATION", _xlfn.IFS(OR(H28=1,H28="1"),188760, OR(H28=2,H28="2"),174390, OR(H28=3,H28="3"),126950, TRUE, ""),
    E28="RICE LAND W/O IRRIGATION", _xlfn.IFS(OR(H28=1,H28="1"),82450, OR(H28=2,H28="2"),75070, OR(H28=3,H28="3"),52590, TRUE, ""),
    E28="UPLAND RICE", 28540,
    E28="ORCHARD", 44100,
    E28="COGON LAND", 46460,
    E28="NIPA LAND", 55070,
    E28="FOREST LAND", 59660,
    E28="FISHPOND", 218240,
    TRUE, ""
)</f>
        <v/>
      </c>
      <c r="J28" s="96" t="str">
        <f t="shared" ref="J28:J34" si="0">IFERROR(MROUND(G28*I28,10),"")</f>
        <v/>
      </c>
      <c r="K28" s="97"/>
    </row>
    <row r="29" spans="1:11" x14ac:dyDescent="0.25">
      <c r="A29" s="37"/>
      <c r="B29" s="37"/>
      <c r="C29" s="37"/>
      <c r="D29" s="32"/>
      <c r="E29" s="136"/>
      <c r="F29" s="137"/>
      <c r="G29" s="63"/>
      <c r="H29" s="63"/>
      <c r="I29" s="77" t="str">
        <f t="array" ref="I29">_xlfn.IFS(
    E29="COMMERCIAL", _xlfn.IFS(H29="C-1",1400, H29="C-2",1030, H29="C-3",850, H29="C-4",720, TRUE, ""),
    E29="RESIDENTIAL", _xlfn.IFS(H29="R-1",760, H29="R-2",610, H29="R-3",470, H29="R-4",280, H29="R-5",200, TRUE, ""),
    E29="COCONUT LAND", _xlfn.IFS(OR(H29=1,H29="1"),93830, OR(H29=2,H29="2"),84500, OR(H29=3,H29="3"),76130, TRUE, ""),
    E29="RICE LAND W/ IRRIGATION", _xlfn.IFS(OR(H29=1,H29="1"),188760, OR(H29=2,H29="2"),174390, OR(H29=3,H29="3"),126950, TRUE, ""),
    E29="RICE LAND W/O IRRIGATION", _xlfn.IFS(OR(H29=1,H29="1"),82450, OR(H29=2,H29="2"),75070, OR(H29=3,H29="3"),52590, TRUE, ""),
    E29="UPLAND RICE", 28540,
    E29="ORCHARD", 44100,
    E29="COGON LAND", 46460,
    E29="NIPA LAND", 55070,
    E29="FOREST LAND", 59660,
    E29="FISHPOND", 218240,
    TRUE, ""
)</f>
        <v/>
      </c>
      <c r="J29" s="96" t="str">
        <f t="shared" si="0"/>
        <v/>
      </c>
      <c r="K29" s="97"/>
    </row>
    <row r="30" spans="1:11" x14ac:dyDescent="0.25">
      <c r="A30" s="34"/>
      <c r="B30" s="34"/>
      <c r="C30" s="34"/>
      <c r="D30" s="32"/>
      <c r="E30" s="153"/>
      <c r="F30" s="154"/>
      <c r="G30" s="78"/>
      <c r="H30" s="79"/>
      <c r="I30" s="77" t="str">
        <f t="array" ref="I30">_xlfn.IFS(
    E30="COMMERCIAL", _xlfn.IFS(H30="C-1",1400, H30="C-2",1030, H30="C-3",850, H30="C-4",720, TRUE, ""),
    E30="RESIDENTIAL", _xlfn.IFS(H30="R-1",760, H30="R-2",610, H30="R-3",470, H30="R-4",280, H30="R-5",200, TRUE, ""),
    E30="COCONUT LAND", _xlfn.IFS(OR(H30=1,H30="1"),93830, OR(H30=2,H30="2"),84500, OR(H30=3,H30="3"),76130, TRUE, ""),
    E30="RICE LAND W/ IRRIGATION", _xlfn.IFS(OR(H30=1,H30="1"),188760, OR(H30=2,H30="2"),174390, OR(H30=3,H30="3"),126950, TRUE, ""),
    E30="RICE LAND W/O IRRIGATION", _xlfn.IFS(OR(H30=1,H30="1"),82450, OR(H30=2,H30="2"),75070, OR(H30=3,H30="3"),52590, TRUE, ""),
    E30="UPLAND RICE", 28540,
    E30="ORCHARD", 44100,
    E30="COGON LAND", 46460,
    E30="NIPA LAND", 55070,
    E30="FOREST LAND", 59660,
    E30="FISHPOND", 218240,
    TRUE, ""
)</f>
        <v/>
      </c>
      <c r="J30" s="96" t="str">
        <f t="shared" si="0"/>
        <v/>
      </c>
      <c r="K30" s="97"/>
    </row>
    <row r="31" spans="1:11" x14ac:dyDescent="0.25">
      <c r="A31" s="34"/>
      <c r="B31" s="34"/>
      <c r="C31" s="34"/>
      <c r="D31" s="32"/>
      <c r="E31" s="107"/>
      <c r="F31" s="101"/>
      <c r="G31" s="35"/>
      <c r="H31" s="36" t="s">
        <v>33</v>
      </c>
      <c r="I31" s="77" t="str">
        <f t="array" ref="I31">_xlfn.IFS(
    E31="COMMERCIAL", _xlfn.IFS(H31="C-1",1400, H31="C-2",1030, H31="C-3",850, H31="C-4",720, TRUE, ""),
    E31="RESIDENTIAL", _xlfn.IFS(H31="R-1",760, H31="R-2",610, H31="R-3",470, H31="R-4",280, H31="R-5",200, TRUE, ""),
    E31="COCONUT LAND", _xlfn.IFS(OR(H31=1,H31="1"),93830, OR(H31=2,H31="2"),84500, OR(H31=3,H31="3"),76130, TRUE, ""),
    E31="RICE LAND W/ IRRIGATION", _xlfn.IFS(OR(H31=1,H31="1"),188760, OR(H31=2,H31="2"),174390, OR(H31=3,H31="3"),126950, TRUE, ""),
    E31="RICE LAND W/O IRRIGATION", _xlfn.IFS(OR(H31=1,H31="1"),82450, OR(H31=2,H31="2"),75070, OR(H31=3,H31="3"),52590, TRUE, ""),
    E31="UPLAND RICE", 28540,
    E31="ORCHARD", 44100,
    E31="COGON LAND", 46460,
    E31="NIPA LAND", 55070,
    E31="FOREST LAND", 59660,
    E31="FISHPOND", 218240,
    TRUE, ""
)</f>
        <v/>
      </c>
      <c r="J31" s="96" t="str">
        <f t="shared" si="0"/>
        <v/>
      </c>
      <c r="K31" s="97"/>
    </row>
    <row r="32" spans="1:11" x14ac:dyDescent="0.25">
      <c r="A32" s="34"/>
      <c r="B32" s="34"/>
      <c r="C32" s="34"/>
      <c r="D32" s="32"/>
      <c r="E32" s="107"/>
      <c r="F32" s="101"/>
      <c r="G32" s="35"/>
      <c r="H32" s="36" t="s">
        <v>33</v>
      </c>
      <c r="I32" s="77" t="str">
        <f t="array" ref="I32">_xlfn.IFS(
    E32="COMMERCIAL", _xlfn.IFS(H32="C-1",1400, H32="C-2",1030, H32="C-3",850, H32="C-4",720, TRUE, ""),
    E32="RESIDENTIAL", _xlfn.IFS(H32="R-1",760, H32="R-2",610, H32="R-3",470, H32="R-4",280, H32="R-5",200, TRUE, ""),
    E32="COCONUT LAND", _xlfn.IFS(OR(H32=1,H32="1"),93830, OR(H32=2,H32="2"),84500, OR(H32=3,H32="3"),76130, TRUE, ""),
    E32="RICE LAND W/ IRRIGATION", _xlfn.IFS(OR(H32=1,H32="1"),188760, OR(H32=2,H32="2"),174390, OR(H32=3,H32="3"),126950, TRUE, ""),
    E32="RICE LAND W/O IRRIGATION", _xlfn.IFS(OR(H32=1,H32="1"),82450, OR(H32=2,H32="2"),75070, OR(H32=3,H32="3"),52590, TRUE, ""),
    E32="UPLAND RICE", 28540,
    E32="ORCHARD", 44100,
    E32="COGON LAND", 46460,
    E32="NIPA LAND", 55070,
    E32="FOREST LAND", 59660,
    E32="FISHPOND", 218240,
    TRUE, ""
)</f>
        <v/>
      </c>
      <c r="J32" s="129" t="str">
        <f t="shared" si="0"/>
        <v/>
      </c>
      <c r="K32" s="101"/>
    </row>
    <row r="33" spans="1:11" x14ac:dyDescent="0.25">
      <c r="A33" s="34"/>
      <c r="B33" s="34"/>
      <c r="C33" s="34"/>
      <c r="D33" s="32"/>
      <c r="E33" s="107"/>
      <c r="F33" s="101"/>
      <c r="G33" s="35"/>
      <c r="H33" s="36" t="s">
        <v>33</v>
      </c>
      <c r="I33" s="77" t="str">
        <f t="array" ref="I33">_xlfn.IFS(
    E33="COMMERCIAL", _xlfn.IFS(H33="C-1",1400, H33="C-2",1030, H33="C-3",850, H33="C-4",720, TRUE, ""),
    E33="RESIDENTIAL", _xlfn.IFS(H33="R-1",760, H33="R-2",610, H33="R-3",470, H33="R-4",280, H33="R-5",200, TRUE, ""),
    E33="COCONUT LAND", _xlfn.IFS(OR(H33=1,H33="1"),93830, OR(H33=2,H33="2"),84500, OR(H33=3,H33="3"),76130, TRUE, ""),
    E33="RICE LAND W/ IRRIGATION", _xlfn.IFS(OR(H33=1,H33="1"),188760, OR(H33=2,H33="2"),174390, OR(H33=3,H33="3"),126950, TRUE, ""),
    E33="RICE LAND W/O IRRIGATION", _xlfn.IFS(OR(H33=1,H33="1"),82450, OR(H33=2,H33="2"),75070, OR(H33=3,H33="3"),52590, TRUE, ""),
    E33="UPLAND RICE", 28540,
    E33="ORCHARD", 44100,
    E33="COGON LAND", 46460,
    E33="NIPA LAND", 55070,
    E33="FOREST LAND", 59660,
    E33="FISHPOND", 218240,
    TRUE, ""
)</f>
        <v/>
      </c>
      <c r="J33" s="129" t="str">
        <f t="shared" si="0"/>
        <v/>
      </c>
      <c r="K33" s="101"/>
    </row>
    <row r="34" spans="1:11" x14ac:dyDescent="0.25">
      <c r="A34" s="34"/>
      <c r="B34" s="34"/>
      <c r="C34" s="34"/>
      <c r="D34" s="32"/>
      <c r="E34" s="107"/>
      <c r="F34" s="101"/>
      <c r="G34" s="35"/>
      <c r="H34" s="36" t="s">
        <v>33</v>
      </c>
      <c r="I34" s="77" t="str">
        <f t="array" ref="I34">_xlfn.IFS(
    E34="COMMERCIAL", _xlfn.IFS(H34="C-1",1400, H34="C-2",1030, H34="C-3",850, H34="C-4",720, TRUE, ""),
    E34="RESIDENTIAL", _xlfn.IFS(H34="R-1",760, H34="R-2",610, H34="R-3",470, H34="R-4",280, H34="R-5",200, TRUE, ""),
    E34="COCONUT LAND", _xlfn.IFS(OR(H34=1,H34="1"),93830, OR(H34=2,H34="2"),84500, OR(H34=3,H34="3"),76130, TRUE, ""),
    E34="RICE LAND W/ IRRIGATION", _xlfn.IFS(OR(H34=1,H34="1"),188760, OR(H34=2,H34="2"),174390, OR(H34=3,H34="3"),126950, TRUE, ""),
    E34="RICE LAND W/O IRRIGATION", _xlfn.IFS(OR(H34=1,H34="1"),82450, OR(H34=2,H34="2"),75070, OR(H34=3,H34="3"),52590, TRUE, ""),
    E34="UPLAND RICE", 28540,
    E34="ORCHARD", 44100,
    E34="COGON LAND", 46460,
    E34="NIPA LAND", 55070,
    E34="FOREST LAND", 59660,
    E34="FISHPOND", 218240,
    TRUE, ""
)</f>
        <v/>
      </c>
      <c r="J34" s="129" t="str">
        <f t="shared" si="0"/>
        <v/>
      </c>
      <c r="K34" s="101"/>
    </row>
    <row r="35" spans="1:11" x14ac:dyDescent="0.25">
      <c r="A35" s="34"/>
      <c r="B35" s="34"/>
      <c r="C35" s="34"/>
      <c r="D35" s="32"/>
      <c r="E35" s="148" t="s">
        <v>34</v>
      </c>
      <c r="F35" s="101"/>
      <c r="G35" s="35"/>
      <c r="H35" s="36"/>
      <c r="I35" s="36"/>
      <c r="J35" s="119">
        <f>SUM(J28:K34)</f>
        <v>0</v>
      </c>
      <c r="K35" s="120"/>
    </row>
    <row r="36" spans="1:11" ht="15" customHeight="1" x14ac:dyDescent="0.25">
      <c r="A36" s="39" t="s">
        <v>34</v>
      </c>
      <c r="B36" s="40"/>
      <c r="C36" s="41" t="s">
        <v>35</v>
      </c>
      <c r="D36" s="32"/>
      <c r="E36" s="148" t="s">
        <v>36</v>
      </c>
      <c r="F36" s="100"/>
      <c r="G36" s="100"/>
      <c r="H36" s="100"/>
      <c r="I36" s="101"/>
      <c r="J36" s="134"/>
      <c r="K36" s="135"/>
    </row>
    <row r="37" spans="1:11" ht="7.5" customHeight="1" x14ac:dyDescent="0.25">
      <c r="A37" s="112" t="s">
        <v>37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</row>
    <row r="38" spans="1:11" x14ac:dyDescent="0.25">
      <c r="A38" s="151" t="s">
        <v>38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</row>
    <row r="39" spans="1:11" x14ac:dyDescent="0.25">
      <c r="A39" s="99" t="s">
        <v>39</v>
      </c>
      <c r="B39" s="100"/>
      <c r="C39" s="101"/>
      <c r="D39" s="42"/>
      <c r="E39" s="37" t="s">
        <v>40</v>
      </c>
      <c r="F39" s="65"/>
      <c r="G39" s="66"/>
      <c r="H39" s="108" t="s">
        <v>26</v>
      </c>
      <c r="I39" s="100"/>
      <c r="J39" s="100"/>
      <c r="K39" s="101"/>
    </row>
    <row r="40" spans="1:11" ht="15" customHeight="1" x14ac:dyDescent="0.25">
      <c r="A40" s="146" t="s">
        <v>41</v>
      </c>
      <c r="B40" s="146" t="s">
        <v>42</v>
      </c>
      <c r="C40" s="133" t="s">
        <v>29</v>
      </c>
      <c r="D40" s="32"/>
      <c r="E40" s="43" t="s">
        <v>33</v>
      </c>
      <c r="F40" s="44"/>
      <c r="G40" s="45"/>
      <c r="H40" s="130" t="s">
        <v>63</v>
      </c>
      <c r="I40" s="130" t="s">
        <v>43</v>
      </c>
      <c r="J40" s="130" t="s">
        <v>62</v>
      </c>
      <c r="K40" s="130" t="s">
        <v>44</v>
      </c>
    </row>
    <row r="41" spans="1:11" ht="22.5" customHeight="1" x14ac:dyDescent="0.25">
      <c r="A41" s="131"/>
      <c r="B41" s="131"/>
      <c r="C41" s="131"/>
      <c r="D41" s="32"/>
      <c r="E41" s="44" t="s">
        <v>45</v>
      </c>
      <c r="F41" s="44"/>
      <c r="G41" s="67"/>
      <c r="H41" s="131"/>
      <c r="I41" s="131"/>
      <c r="J41" s="98"/>
      <c r="K41" s="131"/>
    </row>
    <row r="42" spans="1:11" ht="16.5" customHeight="1" x14ac:dyDescent="0.25">
      <c r="A42" s="46"/>
      <c r="B42" s="46"/>
      <c r="C42" s="47"/>
      <c r="D42" s="32"/>
      <c r="E42" s="44" t="s">
        <v>46</v>
      </c>
      <c r="F42" s="44"/>
      <c r="G42" s="45"/>
      <c r="H42" s="68"/>
      <c r="I42" s="69"/>
      <c r="J42" s="68" t="str" cm="1">
        <f t="array" ref="J42">_xlfn.IFS(
    H42="COCO BRG.-1", 480,
    H42="COCO BRG.-2", 420,
    H42="COCO BRG.-3", 330,
    H42="AVOCADO", 310,
    H42="BANANA", 200,
    H42="CACAO", 300,
    H42="CALAMANSI", 360,
    H42="CAMANSI", 420,
    H42="CHICO", 630,
    H42="COFFEE", 250,
    H42="JACKFRUIT", 840,
    H42="LANZONES", 460,
    H42="MABOLO", 350,
    H42="MANGO", 1750,
    H42="ORANGE", 460,
    H42="RAMBUTAN", 360,
    H42="SANTOL", 620,
    H42="SINEGUELAS", 310,
    H42="STAR APPLE", 790,
    H42="TAMARIND", 350,
    H42="BAMBOO", 460,
    H42="BURI", 410,
    H42="NIPA", 240,
    TRUE, ""
)</f>
        <v/>
      </c>
      <c r="K42" s="70" t="str" cm="1">
        <f t="array" ref="K42">IF(ISNUMBER(I42), _xlfn.IFS(
    H42="COCO BRG.-1", 480,
    H42="COCO BRG.-2", 420,
    H42="COCO BRG.-3", 330,
    H42="AVOCADO", 310,
    H42="BANANA", 200,
    H42="CACAO", 300,
    H42="CALAMANSI", 360,
    H42="CAMANSI", 420,
    H42="CHICO", 630,
    H42="COFFEE", 250,
    H42="JACKFRUIT", 840,
    H42="LANZONES", 460,
    H42="MABOLO", 350,
    H42="MANGO", 1750,
    H42="ORANGE", 460,
    H42="RAMBUTAN", 360,
    H42="SANTOL", 620,
    H42="SINEGUELAS", 310,
    H42="STAR APPLE", 790,
    H42="TAMARIND", 350,
    H42="BAMBOO", 460,
    H42="BURI", 410,
    H42="NIPA", 240,
    TRUE, ""
) * I42, "")</f>
        <v/>
      </c>
    </row>
    <row r="43" spans="1:11" ht="13.5" customHeight="1" x14ac:dyDescent="0.25">
      <c r="A43" s="46"/>
      <c r="B43" s="46"/>
      <c r="C43" s="47"/>
      <c r="D43" s="32"/>
      <c r="E43" s="44" t="s">
        <v>47</v>
      </c>
      <c r="F43" s="44"/>
      <c r="G43" s="45"/>
      <c r="H43" s="48"/>
      <c r="I43" s="49"/>
      <c r="J43" s="68" t="str" cm="1">
        <f t="array" ref="J43">_xlfn.IFS(
    H43="COCO BRG.-1", 480,
    H43="COCO BRG.-2", 420,
    H43="COCO BRG.-3", 330,
    H43="AVOCADO", 310,
    H43="BANANA", 200,
    H43="CACAO", 300,
    H43="CALAMANSI", 360,
    H43="CAMANSI", 420,
    H43="CHICO", 630,
    H43="COFFEE", 250,
    H43="JACKFRUIT", 840,
    H43="LANZONES", 460,
    H43="MABOLO", 350,
    H43="MANGO", 1750,
    H43="ORANGE", 460,
    H43="RAMBUTAN", 360,
    H43="SANTOL", 620,
    H43="SINEGUELAS", 310,
    H43="STAR APPLE", 790,
    H43="TAMARIND", 350,
    H43="BAMBOO", 460,
    H43="BURI", 410,
    H43="NIPA", 240,
    TRUE, ""
)</f>
        <v/>
      </c>
      <c r="K43" s="70" t="str" cm="1">
        <f t="array" ref="K43">IF(ISNUMBER(I43), _xlfn.IFS(
    H43="COCO BRG.-1", 480,
    H43="COCO BRG.-2", 420,
    H43="COCO BRG.-3", 330,
    H43="AVOCADO", 310,
    H43="BANANA", 200,
    H43="CACAO", 300,
    H43="CALAMANSI", 360,
    H43="CAMANSI", 420,
    H43="CHICO", 630,
    H43="COFFEE", 250,
    H43="JACKFRUIT", 840,
    H43="LANZONES", 460,
    H43="MABOLO", 350,
    H43="MANGO", 1750,
    H43="ORANGE", 460,
    H43="RAMBUTAN", 360,
    H43="SANTOL", 620,
    H43="SINEGUELAS", 310,
    H43="STAR APPLE", 790,
    H43="TAMARIND", 350,
    H43="BAMBOO", 460,
    H43="BURI", 410,
    H43="NIPA", 240,
    TRUE, ""
) * I43, "")</f>
        <v/>
      </c>
    </row>
    <row r="44" spans="1:11" x14ac:dyDescent="0.25">
      <c r="A44" s="50"/>
      <c r="B44" s="50"/>
      <c r="C44" s="50"/>
      <c r="D44" s="32"/>
      <c r="E44" s="51" t="s">
        <v>48</v>
      </c>
      <c r="F44" s="51"/>
      <c r="G44" s="84"/>
      <c r="H44" s="34"/>
      <c r="I44" s="34"/>
      <c r="J44" s="68" t="str" cm="1">
        <f t="array" ref="J44">_xlfn.IFS(
    H44="COCO BRG.-1", 480,
    H44="COCO BRG.-2", 420,
    H44="COCO BRG.-3", 330,
    H44="AVOCADO", 310,
    H44="BANANA", 200,
    H44="CACAO", 300,
    H44="CALAMANSI", 360,
    H44="CAMANSI", 420,
    H44="CHICO", 630,
    H44="COFFEE", 250,
    H44="JACKFRUIT", 840,
    H44="LANZONES", 460,
    H44="MABOLO", 350,
    H44="MANGO", 1750,
    H44="ORANGE", 460,
    H44="RAMBUTAN", 360,
    H44="SANTOL", 620,
    H44="SINEGUELAS", 310,
    H44="STAR APPLE", 790,
    H44="TAMARIND", 350,
    H44="BAMBOO", 460,
    H44="BURI", 410,
    H44="NIPA", 240,
    TRUE, ""
)</f>
        <v/>
      </c>
      <c r="K44" s="70" t="str" cm="1">
        <f t="array" ref="K44">IF(ISNUMBER(I44), _xlfn.IFS(
    H44="COCO BRG.-1", 480,
    H44="COCO BRG.-2", 420,
    H44="COCO BRG.-3", 330,
    H44="AVOCADO", 310,
    H44="BANANA", 200,
    H44="CACAO", 300,
    H44="CALAMANSI", 360,
    H44="CAMANSI", 420,
    H44="CHICO", 630,
    H44="COFFEE", 250,
    H44="JACKFRUIT", 840,
    H44="LANZONES", 460,
    H44="MABOLO", 350,
    H44="MANGO", 1750,
    H44="ORANGE", 460,
    H44="RAMBUTAN", 360,
    H44="SANTOL", 620,
    H44="SINEGUELAS", 310,
    H44="STAR APPLE", 790,
    H44="TAMARIND", 350,
    H44="BAMBOO", 460,
    H44="BURI", 410,
    H44="NIPA", 240,
    TRUE, ""
) * I44, "")</f>
        <v/>
      </c>
    </row>
    <row r="45" spans="1:11" x14ac:dyDescent="0.25">
      <c r="A45" s="53"/>
      <c r="B45" s="53"/>
      <c r="C45" s="53"/>
      <c r="D45" s="32"/>
      <c r="E45" s="118" t="s">
        <v>33</v>
      </c>
      <c r="F45" s="89"/>
      <c r="G45" s="90"/>
      <c r="H45" s="54"/>
      <c r="I45" s="38"/>
      <c r="J45" s="68" t="str" cm="1">
        <f t="array" ref="J45">_xlfn.IFS(
    H45="COCO BRG.-1", 480,
    H45="COCO BRG.-2", 420,
    H45="COCO BRG.-3", 330,
    H45="AVOCADO", 310,
    H45="BANANA", 200,
    H45="CACAO", 300,
    H45="CALAMANSI", 360,
    H45="CAMANSI", 420,
    H45="CHICO", 630,
    H45="COFFEE", 250,
    H45="JACKFRUIT", 840,
    H45="LANZONES", 460,
    H45="MABOLO", 350,
    H45="MANGO", 1750,
    H45="ORANGE", 460,
    H45="RAMBUTAN", 360,
    H45="SANTOL", 620,
    H45="SINEGUELAS", 310,
    H45="STAR APPLE", 790,
    H45="TAMARIND", 350,
    H45="BAMBOO", 460,
    H45="BURI", 410,
    H45="NIPA", 240,
    TRUE, ""
)</f>
        <v/>
      </c>
      <c r="K45" s="70" t="str" cm="1">
        <f t="array" ref="K45">IF(ISNUMBER(I45), _xlfn.IFS(
    H45="COCO BRG.-1", 480,
    H45="COCO BRG.-2", 420,
    H45="COCO BRG.-3", 330,
    H45="AVOCADO", 310,
    H45="BANANA", 200,
    H45="CACAO", 300,
    H45="CALAMANSI", 360,
    H45="CAMANSI", 420,
    H45="CHICO", 630,
    H45="COFFEE", 250,
    H45="JACKFRUIT", 840,
    H45="LANZONES", 460,
    H45="MABOLO", 350,
    H45="MANGO", 1750,
    H45="ORANGE", 460,
    H45="RAMBUTAN", 360,
    H45="SANTOL", 620,
    H45="SINEGUELAS", 310,
    H45="STAR APPLE", 790,
    H45="TAMARIND", 350,
    H45="BAMBOO", 460,
    H45="BURI", 410,
    H45="NIPA", 240,
    TRUE, ""
) * I45, "")</f>
        <v/>
      </c>
    </row>
    <row r="46" spans="1:11" x14ac:dyDescent="0.25">
      <c r="A46" s="50"/>
      <c r="B46" s="50"/>
      <c r="C46" s="50"/>
      <c r="D46" s="32"/>
      <c r="E46" s="44" t="s">
        <v>49</v>
      </c>
      <c r="F46" s="51"/>
      <c r="G46" s="45" t="s">
        <v>50</v>
      </c>
      <c r="H46" s="34"/>
      <c r="I46" s="34"/>
      <c r="J46" s="52"/>
      <c r="K46" s="34"/>
    </row>
    <row r="47" spans="1:11" x14ac:dyDescent="0.25">
      <c r="A47" s="55"/>
      <c r="B47" s="55"/>
      <c r="C47" s="55"/>
      <c r="D47" s="32"/>
      <c r="E47" s="51" t="s">
        <v>51</v>
      </c>
      <c r="F47" s="51"/>
      <c r="G47" s="84"/>
      <c r="H47" s="34"/>
      <c r="I47" s="34"/>
      <c r="J47" s="52"/>
      <c r="K47" s="34"/>
    </row>
    <row r="48" spans="1:11" x14ac:dyDescent="0.25">
      <c r="A48" s="50"/>
      <c r="B48" s="76"/>
      <c r="C48" s="76"/>
      <c r="D48" s="32"/>
      <c r="E48" s="44" t="s">
        <v>52</v>
      </c>
      <c r="F48" s="51"/>
      <c r="G48" s="45" t="s">
        <v>53</v>
      </c>
      <c r="H48" s="34"/>
      <c r="I48" s="34"/>
      <c r="J48" s="52"/>
      <c r="K48" s="34"/>
    </row>
    <row r="49" spans="1:12" x14ac:dyDescent="0.25">
      <c r="A49" s="50"/>
      <c r="B49" s="50"/>
      <c r="C49" s="53"/>
      <c r="D49" s="32"/>
      <c r="E49" s="56" t="s">
        <v>54</v>
      </c>
      <c r="F49" s="56"/>
      <c r="G49" s="84"/>
      <c r="H49" s="57"/>
      <c r="I49" s="34"/>
      <c r="J49" s="52"/>
      <c r="K49" s="34"/>
    </row>
    <row r="50" spans="1:12" x14ac:dyDescent="0.25">
      <c r="A50" s="55"/>
      <c r="B50" s="55"/>
      <c r="C50" s="55"/>
      <c r="D50" s="32"/>
      <c r="E50" s="58" t="s">
        <v>55</v>
      </c>
      <c r="F50" s="56"/>
      <c r="G50" s="84"/>
      <c r="H50" s="34"/>
      <c r="I50" s="34"/>
      <c r="J50" s="52"/>
      <c r="K50" s="34"/>
    </row>
    <row r="51" spans="1:12" x14ac:dyDescent="0.25">
      <c r="A51" s="19"/>
      <c r="B51" s="19"/>
      <c r="C51" s="19"/>
      <c r="D51" s="15"/>
      <c r="E51" s="110"/>
      <c r="F51" s="92"/>
      <c r="G51" s="93"/>
      <c r="H51" s="20"/>
      <c r="I51" s="20"/>
      <c r="J51" s="21"/>
      <c r="K51" s="17"/>
    </row>
    <row r="52" spans="1:12" x14ac:dyDescent="0.25">
      <c r="A52" s="19" t="s">
        <v>33</v>
      </c>
      <c r="B52" s="19"/>
      <c r="C52" s="19"/>
      <c r="D52" s="15"/>
      <c r="E52" s="4" t="s">
        <v>34</v>
      </c>
      <c r="F52" s="4"/>
      <c r="G52" s="124"/>
      <c r="H52" s="92"/>
      <c r="I52" s="92"/>
      <c r="J52" s="93"/>
      <c r="K52" s="80" t="str">
        <f>IF(SUM(K42:K51)=0, "", MROUND(SUM(K42:K51), 10))</f>
        <v/>
      </c>
    </row>
    <row r="53" spans="1:12" ht="18.75" customHeight="1" x14ac:dyDescent="0.25">
      <c r="A53" s="1" t="s">
        <v>34</v>
      </c>
      <c r="B53" s="19"/>
      <c r="C53" s="1" t="s">
        <v>35</v>
      </c>
      <c r="D53" s="17"/>
      <c r="E53" s="2" t="s">
        <v>56</v>
      </c>
      <c r="F53" s="2"/>
      <c r="G53" s="2"/>
      <c r="H53" s="121"/>
      <c r="I53" s="100"/>
      <c r="J53" s="101"/>
      <c r="K53" s="80" t="str">
        <f>IF(SUM(K42:K51)=0, "", MROUND(SUM(K42:K51), 10))</f>
        <v/>
      </c>
    </row>
    <row r="54" spans="1:12" ht="8.25" customHeight="1" x14ac:dyDescent="0.25">
      <c r="A54" s="103"/>
      <c r="B54" s="100"/>
      <c r="C54" s="100"/>
      <c r="D54" s="100"/>
      <c r="E54" s="100"/>
      <c r="F54" s="100"/>
      <c r="G54" s="100"/>
      <c r="H54" s="100"/>
      <c r="I54" s="100"/>
      <c r="J54" s="100"/>
      <c r="K54" s="100"/>
    </row>
    <row r="55" spans="1:12" ht="15.75" customHeight="1" x14ac:dyDescent="0.25">
      <c r="A55" s="150" t="s">
        <v>57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14"/>
    </row>
    <row r="56" spans="1:12" ht="15.75" customHeight="1" x14ac:dyDescent="0.25">
      <c r="A56" s="147" t="s">
        <v>39</v>
      </c>
      <c r="B56" s="100"/>
      <c r="C56" s="101"/>
      <c r="D56" s="71"/>
      <c r="E56" s="117" t="s">
        <v>58</v>
      </c>
      <c r="F56" s="100"/>
      <c r="G56" s="100"/>
      <c r="H56" s="100"/>
      <c r="I56" s="100"/>
      <c r="J56" s="100"/>
      <c r="K56" s="100"/>
    </row>
    <row r="57" spans="1:12" x14ac:dyDescent="0.25">
      <c r="A57" s="7" t="s">
        <v>27</v>
      </c>
      <c r="B57" s="6" t="s">
        <v>28</v>
      </c>
      <c r="C57" s="6" t="s">
        <v>29</v>
      </c>
      <c r="D57" s="17"/>
      <c r="E57" s="8" t="s">
        <v>27</v>
      </c>
      <c r="F57" s="8"/>
      <c r="G57" s="10" t="s">
        <v>28</v>
      </c>
      <c r="H57" s="3" t="s">
        <v>31</v>
      </c>
      <c r="I57" s="9" t="s">
        <v>59</v>
      </c>
      <c r="J57" s="128" t="s">
        <v>60</v>
      </c>
      <c r="K57" s="87"/>
      <c r="L57" s="5"/>
    </row>
    <row r="58" spans="1:12" x14ac:dyDescent="0.25">
      <c r="A58" s="16"/>
      <c r="B58" s="22"/>
      <c r="C58" s="16"/>
      <c r="D58" s="23"/>
      <c r="E58" s="116"/>
      <c r="F58" s="101"/>
      <c r="G58" s="74"/>
      <c r="H58" s="75"/>
      <c r="I58" s="75"/>
      <c r="J58" s="113"/>
      <c r="K58" s="101"/>
    </row>
    <row r="59" spans="1:12" x14ac:dyDescent="0.25">
      <c r="A59" s="16"/>
      <c r="B59" s="16"/>
      <c r="C59" s="16"/>
      <c r="D59" s="23"/>
      <c r="E59" s="121"/>
      <c r="F59" s="101"/>
      <c r="G59" s="24" t="s">
        <v>33</v>
      </c>
      <c r="H59" s="24" t="s">
        <v>33</v>
      </c>
      <c r="I59" s="18" t="s">
        <v>33</v>
      </c>
      <c r="J59" s="98"/>
      <c r="K59" s="93"/>
    </row>
    <row r="60" spans="1:12" x14ac:dyDescent="0.25">
      <c r="A60" s="16"/>
      <c r="B60" s="16"/>
      <c r="C60" s="16"/>
      <c r="D60" s="23"/>
      <c r="E60" s="125" t="s">
        <v>33</v>
      </c>
      <c r="F60" s="101"/>
      <c r="G60" s="24" t="s">
        <v>33</v>
      </c>
      <c r="H60" s="24" t="s">
        <v>33</v>
      </c>
      <c r="I60" s="18" t="s">
        <v>33</v>
      </c>
      <c r="J60" s="102"/>
      <c r="K60" s="101"/>
    </row>
    <row r="61" spans="1:12" x14ac:dyDescent="0.25">
      <c r="A61" s="1" t="s">
        <v>34</v>
      </c>
      <c r="B61" s="16"/>
      <c r="C61" s="1" t="s">
        <v>35</v>
      </c>
      <c r="D61" s="23"/>
      <c r="E61" s="125" t="s">
        <v>34</v>
      </c>
      <c r="F61" s="101"/>
      <c r="G61" s="73"/>
      <c r="H61" s="24" t="s">
        <v>33</v>
      </c>
      <c r="I61" s="18" t="s">
        <v>33</v>
      </c>
      <c r="J61" s="115">
        <f>SUM(J58:K60)</f>
        <v>0</v>
      </c>
      <c r="K61" s="101"/>
    </row>
    <row r="62" spans="1:12" ht="11.25" customHeight="1" x14ac:dyDescent="0.25">
      <c r="A62" s="110"/>
      <c r="B62" s="92"/>
      <c r="C62" s="92"/>
      <c r="D62" s="92"/>
      <c r="E62" s="92"/>
      <c r="F62" s="92"/>
      <c r="G62" s="92"/>
      <c r="H62" s="92"/>
      <c r="I62" s="92"/>
      <c r="J62" s="92"/>
      <c r="K62" s="93"/>
    </row>
    <row r="63" spans="1:12" ht="5.25" customHeight="1" x14ac:dyDescent="0.25">
      <c r="A63" s="72"/>
      <c r="B63" s="13"/>
      <c r="C63" s="13"/>
      <c r="D63" s="13"/>
      <c r="H63" s="13"/>
      <c r="I63" s="13"/>
      <c r="J63" s="13"/>
      <c r="K63" s="13"/>
    </row>
    <row r="64" spans="1:12" x14ac:dyDescent="0.25">
      <c r="C64" s="12" t="s">
        <v>61</v>
      </c>
      <c r="D64" s="85"/>
      <c r="E64" s="86"/>
      <c r="F64" s="86"/>
      <c r="G64" s="86"/>
      <c r="H64" s="86"/>
      <c r="I64" s="86"/>
      <c r="J64" s="86"/>
      <c r="K64" s="87"/>
    </row>
    <row r="65" spans="4:11" x14ac:dyDescent="0.25">
      <c r="D65" s="88"/>
      <c r="E65" s="89"/>
      <c r="F65" s="89"/>
      <c r="G65" s="89"/>
      <c r="H65" s="89"/>
      <c r="I65" s="89"/>
      <c r="J65" s="89"/>
      <c r="K65" s="90"/>
    </row>
    <row r="66" spans="4:11" x14ac:dyDescent="0.25">
      <c r="D66" s="88"/>
      <c r="E66" s="89"/>
      <c r="F66" s="89"/>
      <c r="G66" s="89"/>
      <c r="H66" s="89"/>
      <c r="I66" s="89"/>
      <c r="J66" s="89"/>
      <c r="K66" s="90"/>
    </row>
    <row r="67" spans="4:11" x14ac:dyDescent="0.25">
      <c r="D67" s="88"/>
      <c r="E67" s="89"/>
      <c r="F67" s="89"/>
      <c r="G67" s="89"/>
      <c r="H67" s="89"/>
      <c r="I67" s="89"/>
      <c r="J67" s="89"/>
      <c r="K67" s="90"/>
    </row>
    <row r="68" spans="4:11" x14ac:dyDescent="0.25">
      <c r="D68" s="91"/>
      <c r="E68" s="92"/>
      <c r="F68" s="92"/>
      <c r="G68" s="92"/>
      <c r="H68" s="92"/>
      <c r="I68" s="92"/>
      <c r="J68" s="92"/>
      <c r="K68" s="93"/>
    </row>
  </sheetData>
  <mergeCells count="83">
    <mergeCell ref="A17:B17"/>
    <mergeCell ref="B40:B41"/>
    <mergeCell ref="H19:I19"/>
    <mergeCell ref="E30:F30"/>
    <mergeCell ref="C19:E19"/>
    <mergeCell ref="A55:K55"/>
    <mergeCell ref="J32:K32"/>
    <mergeCell ref="A39:C39"/>
    <mergeCell ref="E36:I36"/>
    <mergeCell ref="A38:K38"/>
    <mergeCell ref="J33:K33"/>
    <mergeCell ref="I40:I41"/>
    <mergeCell ref="A12:K12"/>
    <mergeCell ref="A5:B5"/>
    <mergeCell ref="E61:F61"/>
    <mergeCell ref="A14:K14"/>
    <mergeCell ref="H53:J53"/>
    <mergeCell ref="A23:K23"/>
    <mergeCell ref="E32:F32"/>
    <mergeCell ref="A40:A41"/>
    <mergeCell ref="E51:G51"/>
    <mergeCell ref="E33:F33"/>
    <mergeCell ref="A56:C56"/>
    <mergeCell ref="I18:K18"/>
    <mergeCell ref="G17:H17"/>
    <mergeCell ref="E35:F35"/>
    <mergeCell ref="J30:K30"/>
    <mergeCell ref="A25:K25"/>
    <mergeCell ref="A8:K8"/>
    <mergeCell ref="H3:I3"/>
    <mergeCell ref="J3:K3"/>
    <mergeCell ref="A4:E4"/>
    <mergeCell ref="H11:K11"/>
    <mergeCell ref="B11:G11"/>
    <mergeCell ref="C7:I7"/>
    <mergeCell ref="H13:K13"/>
    <mergeCell ref="E26:K26"/>
    <mergeCell ref="I22:K22"/>
    <mergeCell ref="J57:K57"/>
    <mergeCell ref="B13:G13"/>
    <mergeCell ref="I21:K21"/>
    <mergeCell ref="J34:K34"/>
    <mergeCell ref="K40:K41"/>
    <mergeCell ref="J27:K27"/>
    <mergeCell ref="C40:C41"/>
    <mergeCell ref="J36:K36"/>
    <mergeCell ref="J29:K29"/>
    <mergeCell ref="H40:H41"/>
    <mergeCell ref="J40:J41"/>
    <mergeCell ref="E29:F29"/>
    <mergeCell ref="C17:E17"/>
    <mergeCell ref="A62:K62"/>
    <mergeCell ref="B22:G22"/>
    <mergeCell ref="A19:B19"/>
    <mergeCell ref="J58:K58"/>
    <mergeCell ref="B21:G21"/>
    <mergeCell ref="J61:K61"/>
    <mergeCell ref="E58:F58"/>
    <mergeCell ref="E56:K56"/>
    <mergeCell ref="E45:G45"/>
    <mergeCell ref="A37:K37"/>
    <mergeCell ref="E31:F31"/>
    <mergeCell ref="J35:K35"/>
    <mergeCell ref="E59:F59"/>
    <mergeCell ref="E28:F28"/>
    <mergeCell ref="G52:J52"/>
    <mergeCell ref="E60:F60"/>
    <mergeCell ref="D64:K68"/>
    <mergeCell ref="A24:K24"/>
    <mergeCell ref="C5:G5"/>
    <mergeCell ref="J28:K28"/>
    <mergeCell ref="J59:K59"/>
    <mergeCell ref="A26:C26"/>
    <mergeCell ref="J60:K60"/>
    <mergeCell ref="A54:K54"/>
    <mergeCell ref="A16:K16"/>
    <mergeCell ref="I17:K17"/>
    <mergeCell ref="G18:H18"/>
    <mergeCell ref="E34:F34"/>
    <mergeCell ref="H39:K39"/>
    <mergeCell ref="C18:E18"/>
    <mergeCell ref="E27:F27"/>
    <mergeCell ref="J31:K31"/>
  </mergeCells>
  <phoneticPr fontId="18" type="noConversion"/>
  <printOptions horizontalCentered="1" verticalCentered="1"/>
  <pageMargins left="0.25" right="0.25" top="0.75" bottom="0.75" header="0.3" footer="0.3"/>
  <pageSetup scale="70" fitToWidth="0" fitToHeight="0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781C2-0E33-449D-A129-00FD8AD7269D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2026-02-20T03:12:35Z</cp:lastPrinted>
  <dcterms:created xsi:type="dcterms:W3CDTF">2026-01-16T03:13:35Z</dcterms:created>
  <dcterms:modified xsi:type="dcterms:W3CDTF">2026-02-20T03:20:14Z</dcterms:modified>
</cp:coreProperties>
</file>