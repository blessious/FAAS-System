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dmin\Videos\FAAS SYSTEM\backend\python\templates\"/>
    </mc:Choice>
  </mc:AlternateContent>
  <xr:revisionPtr revIDLastSave="0" documentId="13_ncr:1_{A227F895-9EE3-4E10-A45D-C6B254AA94A9}" xr6:coauthVersionLast="47" xr6:coauthVersionMax="47" xr10:uidLastSave="{00000000-0000-0000-0000-000000000000}"/>
  <bookViews>
    <workbookView xWindow="-120" yWindow="-120" windowWidth="29040" windowHeight="15720" xr2:uid="{09F85F88-7F48-4E0A-B303-28052CF036CC}"/>
  </bookViews>
  <sheets>
    <sheet name="Sheet1" sheetId="1" r:id="rId1"/>
    <sheet name="Sheet2" sheetId="7" r:id="rId2"/>
  </sheets>
  <definedNames>
    <definedName name="_xlnm.Print_Area" localSheetId="0">Sheet1!$A$1:$K$66</definedName>
    <definedName name="_xlnm.Print_Area" localSheetId="1">Sheet2!$A$1:$K$71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9" i="1" l="1"/>
  <c r="J30" i="1"/>
  <c r="J31" i="1"/>
  <c r="J28" i="1"/>
  <c r="J38" i="7"/>
  <c r="G58" i="7" l="1"/>
  <c r="K58" i="7"/>
  <c r="J61" i="1"/>
  <c r="K45" i="1" a="1"/>
  <c r="K45" i="1" s="1"/>
  <c r="J45" i="1" a="1"/>
  <c r="J45" i="1" s="1"/>
  <c r="K44" i="1" a="1"/>
  <c r="K44" i="1" s="1"/>
  <c r="J44" i="1" a="1"/>
  <c r="J44" i="1" s="1"/>
  <c r="K43" i="1" a="1"/>
  <c r="K43" i="1" s="1"/>
  <c r="J43" i="1" a="1"/>
  <c r="J43" i="1" s="1"/>
  <c r="K42" i="1" a="1"/>
  <c r="K42" i="1" s="1"/>
  <c r="J42" i="1" a="1"/>
  <c r="J42" i="1" s="1"/>
  <c r="I34" i="1" a="1"/>
  <c r="I34" i="1" s="1"/>
  <c r="J34" i="1" s="1"/>
  <c r="I33" i="1" a="1"/>
  <c r="I33" i="1" s="1"/>
  <c r="J33" i="1" s="1"/>
  <c r="I32" i="1" a="1"/>
  <c r="I32" i="1" s="1"/>
  <c r="J32" i="1" s="1"/>
  <c r="I30" i="1" a="1"/>
  <c r="I30" i="1" s="1"/>
  <c r="I29" i="1" a="1"/>
  <c r="I29" i="1" s="1"/>
  <c r="I28" i="1" a="1"/>
  <c r="I28" i="1" s="1"/>
  <c r="K53" i="1" l="1"/>
  <c r="K5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<sst xmlns="http://schemas.openxmlformats.org/spreadsheetml/2006/main" count="184" uniqueCount="120">
  <si>
    <t>RPA Form No. 1</t>
  </si>
  <si>
    <t>(FILED UNDER REPUBLIC ACT. NO. 7160)</t>
  </si>
  <si>
    <t>DESCRIPTION AND OTHER PARTICULARS OF PROPERTY</t>
  </si>
  <si>
    <t>Number and Street</t>
  </si>
  <si>
    <t>I (a) LAND (AGRICULTURAL/MINERAL)</t>
  </si>
  <si>
    <t>OWNER'S DECLARATTION</t>
  </si>
  <si>
    <t>Kind</t>
  </si>
  <si>
    <t>Area</t>
  </si>
  <si>
    <t>Value</t>
  </si>
  <si>
    <t>Class</t>
  </si>
  <si>
    <t>ASSESOR'S FINDINGS</t>
  </si>
  <si>
    <t>Unit Values</t>
  </si>
  <si>
    <t>Adjustment</t>
  </si>
  <si>
    <t>₱</t>
  </si>
  <si>
    <t>Total Adjustment Market Value</t>
  </si>
  <si>
    <t>Total</t>
  </si>
  <si>
    <t>OWNER'S DECLARATION</t>
  </si>
  <si>
    <t>Annual Product (Quality)</t>
  </si>
  <si>
    <t xml:space="preserve"> </t>
  </si>
  <si>
    <t>Market Value</t>
  </si>
  <si>
    <t>Market Values</t>
  </si>
  <si>
    <t>Annual Product          (Quantity)</t>
  </si>
  <si>
    <t xml:space="preserve">Number and                   Kind </t>
  </si>
  <si>
    <t>(Barangay/District)</t>
  </si>
  <si>
    <t xml:space="preserve">Total Adjusted Market Value </t>
  </si>
  <si>
    <t>(Municipality/City/Province)</t>
  </si>
  <si>
    <t>TAX DECLARATION NO.</t>
  </si>
  <si>
    <t>Owner</t>
  </si>
  <si>
    <t>Administrator</t>
  </si>
  <si>
    <t>Certificate of Title No.</t>
  </si>
  <si>
    <t>Cadastral Lot No.</t>
  </si>
  <si>
    <t>Assessor's Lot No.</t>
  </si>
  <si>
    <t>North</t>
  </si>
  <si>
    <t>South</t>
  </si>
  <si>
    <t>West</t>
  </si>
  <si>
    <t>East</t>
  </si>
  <si>
    <t xml:space="preserve">      DECLARATION OF REAL PROPERTY</t>
  </si>
  <si>
    <t xml:space="preserve">Based Market  </t>
  </si>
  <si>
    <t>Adjustment:</t>
  </si>
  <si>
    <t xml:space="preserve">no.rd.frontage </t>
  </si>
  <si>
    <t xml:space="preserve">(a) Along--or </t>
  </si>
  <si>
    <t>(b) ____________</t>
  </si>
  <si>
    <t>kms. to all</t>
  </si>
  <si>
    <t xml:space="preserve">     weather rd.</t>
  </si>
  <si>
    <t>Kms to</t>
  </si>
  <si>
    <t>(c) _____________</t>
  </si>
  <si>
    <t xml:space="preserve">  market(pob)</t>
  </si>
  <si>
    <t>Total Adjustment</t>
  </si>
  <si>
    <t>______________________________________________________________________________________________________________________________</t>
  </si>
  <si>
    <t>Market                                    Value</t>
  </si>
  <si>
    <t xml:space="preserve">Location of Property   </t>
  </si>
  <si>
    <t xml:space="preserve">                                                                                                                                                                                                                Address</t>
  </si>
  <si>
    <t xml:space="preserve">                                                                                                                                                                                                             Address</t>
  </si>
  <si>
    <t>PROPERTY INDEX NO.</t>
  </si>
  <si>
    <t>Boundaries</t>
  </si>
  <si>
    <t>Block No.</t>
  </si>
  <si>
    <t>(State streets, lots, or streams by which bounded or names of owners of adjoining lands)</t>
  </si>
  <si>
    <t>I (b) PLANT &amp; TREES</t>
  </si>
  <si>
    <t xml:space="preserve">                                     </t>
  </si>
  <si>
    <t>II LAND (RESIDENTIAL, COMMERCIAL, INDUSTRIAL, SPECIAL)</t>
  </si>
  <si>
    <t>ASSESSOR'S FINDINGS</t>
  </si>
  <si>
    <t>1. OWNER’S DECLARATION</t>
  </si>
  <si>
    <t>III (a) BUILDING AND OTHER IMPROVEMENTS</t>
  </si>
  <si>
    <t>DESCRIPTION</t>
  </si>
  <si>
    <t>Construction Materials</t>
  </si>
  <si>
    <t>1st Story</t>
  </si>
  <si>
    <t>2nd Story</t>
  </si>
  <si>
    <t>3rd Story</t>
  </si>
  <si>
    <t>Roof</t>
  </si>
  <si>
    <t>TOTAL</t>
  </si>
  <si>
    <t>2. ASSESSOR’S FINDINGS</t>
  </si>
  <si>
    <t>III (b) MACHINERY</t>
  </si>
  <si>
    <t>Date of Operation</t>
  </si>
  <si>
    <t>Original Cost</t>
  </si>
  <si>
    <t>Depreciation</t>
  </si>
  <si>
    <t>2. ASSESSOR’S FINDING</t>
  </si>
  <si>
    <t>SWORN STATEMENT OF OWNER</t>
  </si>
  <si>
    <t>Land</t>
  </si>
  <si>
    <t>Improvements</t>
  </si>
  <si>
    <t>TOTAL VALUE</t>
  </si>
  <si>
    <t>(Signature)</t>
  </si>
  <si>
    <t>TIN</t>
  </si>
  <si>
    <t xml:space="preserve">         person taking oath presentinf Residence Certificate No. ___________________  issued on   _________________________</t>
  </si>
  <si>
    <t>Subscribed and sworn to before me this __________ day of _______________________ 20 ______ the ___________</t>
  </si>
  <si>
    <t xml:space="preserve">         20 _________ at ____________________________________</t>
  </si>
  <si>
    <t>Signature of Official Administering</t>
  </si>
  <si>
    <t>________________________</t>
  </si>
  <si>
    <t xml:space="preserve">(x) State in the nearest multiple of 10 as P950 </t>
  </si>
  <si>
    <t>in</t>
  </si>
  <si>
    <t>instead of P948; P1,000 instead of P1,004</t>
  </si>
  <si>
    <t>Official Title</t>
  </si>
  <si>
    <t>( CITY/PROVINCIAL ASSESSOR</t>
  </si>
  <si>
    <t>ASSESSMENT BY                                            (BOARD OF ASSESSMENT APPEALS</t>
  </si>
  <si>
    <t>( CENTRAL  BOARD OF ASSESSMENT APPEALS</t>
  </si>
  <si>
    <t>Actual Use</t>
  </si>
  <si>
    <t>Kind of Property</t>
  </si>
  <si>
    <t>Assessment Level</t>
  </si>
  <si>
    <t>Assessed Level</t>
  </si>
  <si>
    <t>TOTAL ASSESSED VALUE</t>
  </si>
  <si>
    <t>(AMOUNT IN WORDS)</t>
  </si>
  <si>
    <t>APPROVED:</t>
  </si>
  <si>
    <t>Provincial/City Assessor</t>
  </si>
  <si>
    <t>By</t>
  </si>
  <si>
    <t>Deputy</t>
  </si>
  <si>
    <t>Date</t>
  </si>
  <si>
    <t xml:space="preserve">         foregoing described property of which Iam the owner/administrator, it to the best of my knowledge and belief, as follows:</t>
  </si>
  <si>
    <t xml:space="preserve">                Under the provisions of Presidential Decree No. 1621, I HEREBY CERTIFY that the current and fair market value (x) of the </t>
  </si>
  <si>
    <t>FLOOR AREA</t>
  </si>
  <si>
    <t xml:space="preserve">Number and Kind </t>
  </si>
  <si>
    <t>Unit Value</t>
  </si>
  <si>
    <t>Note:</t>
  </si>
  <si>
    <t>THIS DECLARATION CANCELS TAX NOS.</t>
  </si>
  <si>
    <t>: IS CANCELLED BY</t>
  </si>
  <si>
    <t>TAX UNDER THIS DECLARATION BEGINS WITH THE</t>
  </si>
  <si>
    <t>TAX NOS.___________________________________________________________________________</t>
  </si>
  <si>
    <t>YEAR</t>
  </si>
  <si>
    <t>PREVIOUS OWNER</t>
  </si>
  <si>
    <t>TOTAL:</t>
  </si>
  <si>
    <t>PREVIOUS ASSESSED VALUE:   LAND</t>
  </si>
  <si>
    <t xml:space="preserve">     IMPROVEMENT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</si>
</sst>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4" formatCode="_(&quot;$&quot;* #,##0.00_);_(&quot;$&quot;* \(#,##0.00\);_(&quot;$&quot;* &quot;-&quot;??_);_(@_)"/>
    <numFmt numFmtId="164" formatCode="[$₱-3409]#,##0"/>
    <numFmt numFmtId="165" formatCode="[$₱-464]#,##0.00"/>
    <numFmt numFmtId="166" formatCode="[$₱-3409]#,##0.00"/>
    <numFmt numFmtId="167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i/>
      <sz val="11"/>
      <color theme="1"/>
      <name val="Times"/>
      <family val="1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theme="1"/>
      </bottom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8">
    <xf numFmtId="0" fontId="0" fillId="0" borderId="0" xfId="0"/>
    <xf numFmtId="0" fontId="3" fillId="0" borderId="2" xfId="0" applyFont="1" applyBorder="1" applyAlignment="1">
      <alignment vertical="center"/>
    </xf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3" fillId="0" borderId="8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14" xfId="0" applyBorder="1"/>
    <xf numFmtId="0" fontId="0" fillId="0" borderId="2" xfId="0" applyBorder="1"/>
    <xf numFmtId="0" fontId="0" fillId="0" borderId="13" xfId="0" applyBorder="1"/>
    <xf numFmtId="0" fontId="0" fillId="0" borderId="2" xfId="0" applyBorder="1" applyAlignment="1">
      <alignment horizontal="center"/>
    </xf>
    <xf numFmtId="0" fontId="0" fillId="0" borderId="2" xfId="0" applyBorder="1" applyAlignment="1">
      <alignment vertical="center"/>
    </xf>
    <xf numFmtId="0" fontId="0" fillId="0" borderId="8" xfId="0" applyBorder="1"/>
    <xf numFmtId="0" fontId="0" fillId="0" borderId="13" xfId="0" applyBorder="1" applyAlignment="1">
      <alignment horizontal="center"/>
    </xf>
    <xf numFmtId="0" fontId="0" fillId="0" borderId="5" xfId="0" applyBorder="1"/>
    <xf numFmtId="0" fontId="0" fillId="0" borderId="11" xfId="0" applyBorder="1"/>
    <xf numFmtId="0" fontId="0" fillId="0" borderId="3" xfId="0" applyBorder="1"/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/>
    <xf numFmtId="0" fontId="7" fillId="0" borderId="0" xfId="0" applyFont="1" applyAlignment="1">
      <alignment horizontal="right"/>
    </xf>
    <xf numFmtId="0" fontId="7" fillId="0" borderId="0" xfId="0" applyFont="1" applyAlignment="1">
      <alignment horizontal="center" vertical="top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14" xfId="0" applyFont="1" applyBorder="1"/>
    <xf numFmtId="0" fontId="12" fillId="0" borderId="2" xfId="0" applyFont="1" applyBorder="1" applyAlignment="1">
      <alignment horizontal="center"/>
    </xf>
    <xf numFmtId="0" fontId="7" fillId="0" borderId="2" xfId="0" applyFont="1" applyBorder="1"/>
    <xf numFmtId="0" fontId="7" fillId="0" borderId="3" xfId="0" applyFont="1" applyBorder="1" applyAlignment="1">
      <alignment horizontal="center"/>
    </xf>
    <xf numFmtId="0" fontId="9" fillId="0" borderId="2" xfId="0" applyFont="1" applyBorder="1"/>
    <xf numFmtId="0" fontId="7" fillId="0" borderId="6" xfId="0" applyFont="1" applyBorder="1"/>
    <xf numFmtId="0" fontId="7" fillId="0" borderId="13" xfId="0" applyFont="1" applyBorder="1"/>
    <xf numFmtId="0" fontId="8" fillId="0" borderId="3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10" xfId="0" applyFont="1" applyBorder="1"/>
    <xf numFmtId="0" fontId="12" fillId="0" borderId="10" xfId="0" applyFont="1" applyBorder="1" applyAlignment="1">
      <alignment horizontal="left"/>
    </xf>
    <xf numFmtId="0" fontId="12" fillId="0" borderId="0" xfId="0" applyFont="1" applyAlignment="1">
      <alignment horizontal="left"/>
    </xf>
    <xf numFmtId="0" fontId="12" fillId="0" borderId="11" xfId="0" applyFont="1" applyBorder="1" applyAlignment="1">
      <alignment horizontal="left"/>
    </xf>
    <xf numFmtId="0" fontId="12" fillId="0" borderId="13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wrapText="1"/>
    </xf>
    <xf numFmtId="0" fontId="7" fillId="0" borderId="2" xfId="0" applyFont="1" applyBorder="1" applyAlignment="1">
      <alignment vertical="center"/>
    </xf>
    <xf numFmtId="0" fontId="12" fillId="0" borderId="0" xfId="0" applyFont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3" xfId="0" applyFont="1" applyBorder="1" applyAlignment="1">
      <alignment vertical="center"/>
    </xf>
    <xf numFmtId="0" fontId="7" fillId="0" borderId="8" xfId="0" applyFont="1" applyBorder="1"/>
    <xf numFmtId="0" fontId="7" fillId="0" borderId="6" xfId="0" applyFont="1" applyBorder="1" applyAlignment="1">
      <alignment vertical="center"/>
    </xf>
    <xf numFmtId="0" fontId="12" fillId="0" borderId="0" xfId="0" applyFont="1" applyAlignment="1">
      <alignment horizontal="right"/>
    </xf>
    <xf numFmtId="0" fontId="7" fillId="0" borderId="5" xfId="0" applyFont="1" applyBorder="1"/>
    <xf numFmtId="0" fontId="12" fillId="0" borderId="0" xfId="0" applyFont="1"/>
    <xf numFmtId="0" fontId="7" fillId="0" borderId="0" xfId="0" applyFont="1" applyAlignment="1">
      <alignment vertical="center"/>
    </xf>
    <xf numFmtId="0" fontId="12" fillId="0" borderId="14" xfId="0" applyFont="1" applyBorder="1"/>
    <xf numFmtId="0" fontId="12" fillId="0" borderId="3" xfId="0" applyFont="1" applyBorder="1" applyAlignment="1">
      <alignment horizontal="center"/>
    </xf>
    <xf numFmtId="0" fontId="11" fillId="0" borderId="2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7" fillId="0" borderId="3" xfId="0" applyFont="1" applyBorder="1"/>
    <xf numFmtId="0" fontId="7" fillId="0" borderId="9" xfId="0" applyFont="1" applyBorder="1"/>
    <xf numFmtId="0" fontId="13" fillId="0" borderId="8" xfId="0" applyFont="1" applyBorder="1" applyAlignment="1">
      <alignment horizontal="left"/>
    </xf>
    <xf numFmtId="0" fontId="14" fillId="0" borderId="8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wrapText="1"/>
    </xf>
    <xf numFmtId="0" fontId="5" fillId="0" borderId="0" xfId="0" applyFont="1" applyAlignment="1">
      <alignment horizontal="center" vertical="center"/>
    </xf>
    <xf numFmtId="0" fontId="0" fillId="0" borderId="9" xfId="0" applyBorder="1" applyAlignment="1">
      <alignment horizontal="left"/>
    </xf>
    <xf numFmtId="0" fontId="0" fillId="0" borderId="2" xfId="0" applyBorder="1" applyAlignment="1">
      <alignment horizontal="left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7" fillId="0" borderId="5" xfId="0" applyFont="1" applyBorder="1" applyAlignment="1">
      <alignment vertical="center"/>
    </xf>
    <xf numFmtId="0" fontId="7" fillId="0" borderId="1" xfId="0" applyFont="1" applyBorder="1" applyAlignment="1">
      <alignment horizontal="center"/>
    </xf>
    <xf numFmtId="0" fontId="10" fillId="0" borderId="16" xfId="0" applyFont="1" applyBorder="1"/>
    <xf numFmtId="0" fontId="10" fillId="0" borderId="2" xfId="0" applyFont="1" applyBorder="1"/>
    <xf numFmtId="0" fontId="7" fillId="0" borderId="1" xfId="0" applyFont="1" applyBorder="1"/>
    <xf numFmtId="0" fontId="7" fillId="0" borderId="4" xfId="0" applyFont="1" applyBorder="1"/>
    <xf numFmtId="0" fontId="7" fillId="0" borderId="0" xfId="0" applyFont="1" applyAlignment="1">
      <alignment horizontal="left" indent="7"/>
    </xf>
    <xf numFmtId="0" fontId="8" fillId="0" borderId="0" xfId="0" applyFont="1"/>
    <xf numFmtId="0" fontId="14" fillId="0" borderId="0" xfId="0" applyFont="1" applyAlignment="1">
      <alignment horizontal="left" indent="8"/>
    </xf>
    <xf numFmtId="0" fontId="8" fillId="0" borderId="0" xfId="0" applyFont="1" applyAlignment="1">
      <alignment horizontal="left" vertical="center"/>
    </xf>
    <xf numFmtId="0" fontId="7" fillId="0" borderId="32" xfId="0" applyFont="1" applyBorder="1"/>
    <xf numFmtId="0" fontId="7" fillId="0" borderId="1" xfId="0" applyFont="1" applyBorder="1" applyAlignment="1">
      <alignment horizontal="center" vertical="center"/>
    </xf>
    <xf numFmtId="0" fontId="7" fillId="0" borderId="16" xfId="0" applyFont="1" applyBorder="1"/>
    <xf numFmtId="0" fontId="7" fillId="0" borderId="25" xfId="0" applyFont="1" applyBorder="1"/>
    <xf numFmtId="0" fontId="10" fillId="0" borderId="35" xfId="0" applyFont="1" applyBorder="1"/>
    <xf numFmtId="0" fontId="7" fillId="0" borderId="0" xfId="0" applyFont="1" applyAlignment="1">
      <alignment horizontal="left" indent="14"/>
    </xf>
    <xf numFmtId="0" fontId="10" fillId="0" borderId="1" xfId="0" applyFont="1" applyBorder="1" applyAlignment="1">
      <alignment horizontal="center"/>
    </xf>
    <xf numFmtId="0" fontId="7" fillId="0" borderId="0" xfId="0" applyFont="1" applyAlignment="1">
      <alignment horizontal="right" vertical="center"/>
    </xf>
    <xf numFmtId="44" fontId="10" fillId="0" borderId="1" xfId="0" applyNumberFormat="1" applyFont="1" applyBorder="1" applyAlignment="1">
      <alignment horizontal="center" vertical="center"/>
    </xf>
    <xf numFmtId="4" fontId="11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horizontal="center"/>
    </xf>
    <xf numFmtId="9" fontId="14" fillId="0" borderId="8" xfId="0" applyNumberFormat="1" applyFont="1" applyBorder="1" applyAlignment="1">
      <alignment horizontal="center"/>
    </xf>
    <xf numFmtId="166" fontId="17" fillId="0" borderId="2" xfId="0" applyNumberFormat="1" applyFont="1" applyBorder="1"/>
    <xf numFmtId="0" fontId="0" fillId="0" borderId="0" xfId="0" applyAlignment="1">
      <alignment horizontal="right"/>
    </xf>
    <xf numFmtId="3" fontId="14" fillId="0" borderId="13" xfId="0" applyNumberFormat="1" applyFont="1" applyBorder="1" applyAlignment="1">
      <alignment horizontal="center" vertical="center" wrapText="1"/>
    </xf>
    <xf numFmtId="0" fontId="0" fillId="0" borderId="1" xfId="0" applyBorder="1"/>
    <xf numFmtId="0" fontId="10" fillId="0" borderId="4" xfId="0" applyFont="1" applyBorder="1"/>
    <xf numFmtId="3" fontId="7" fillId="0" borderId="2" xfId="0" applyNumberFormat="1" applyFont="1" applyBorder="1"/>
    <xf numFmtId="3" fontId="0" fillId="0" borderId="13" xfId="0" applyNumberFormat="1" applyBorder="1"/>
    <xf numFmtId="9" fontId="5" fillId="0" borderId="8" xfId="0" applyNumberFormat="1" applyFont="1" applyBorder="1" applyAlignment="1">
      <alignment horizontal="center"/>
    </xf>
    <xf numFmtId="0" fontId="10" fillId="0" borderId="34" xfId="0" applyFont="1" applyBorder="1"/>
    <xf numFmtId="164" fontId="10" fillId="0" borderId="4" xfId="0" applyNumberFormat="1" applyFont="1" applyBorder="1"/>
    <xf numFmtId="9" fontId="10" fillId="0" borderId="4" xfId="0" applyNumberFormat="1" applyFont="1" applyBorder="1"/>
    <xf numFmtId="9" fontId="10" fillId="0" borderId="1" xfId="0" applyNumberFormat="1" applyFont="1" applyBorder="1"/>
    <xf numFmtId="164" fontId="10" fillId="0" borderId="9" xfId="0" applyNumberFormat="1" applyFont="1" applyBorder="1"/>
    <xf numFmtId="1" fontId="7" fillId="0" borderId="3" xfId="0" applyNumberFormat="1" applyFont="1" applyBorder="1" applyAlignment="1">
      <alignment horizontal="center"/>
    </xf>
    <xf numFmtId="167" fontId="11" fillId="0" borderId="3" xfId="0" applyNumberFormat="1" applyFont="1" applyBorder="1" applyAlignment="1">
      <alignment horizontal="center" vertical="center"/>
    </xf>
    <xf numFmtId="167" fontId="11" fillId="0" borderId="6" xfId="0" applyNumberFormat="1" applyFont="1" applyBorder="1" applyAlignment="1">
      <alignment horizontal="center" vertical="center"/>
    </xf>
    <xf numFmtId="167" fontId="11" fillId="0" borderId="3" xfId="0" applyNumberFormat="1" applyFont="1" applyBorder="1" applyAlignment="1">
      <alignment horizontal="center"/>
    </xf>
    <xf numFmtId="167" fontId="7" fillId="0" borderId="3" xfId="0" applyNumberFormat="1" applyFont="1" applyBorder="1" applyAlignment="1">
      <alignment horizontal="center"/>
    </xf>
    <xf numFmtId="0" fontId="1" fillId="0" borderId="0" xfId="0" applyFont="1" applyAlignment="1">
      <alignment horizontal="right"/>
    </xf>
    <xf numFmtId="0" fontId="10" fillId="0" borderId="0" xfId="0" applyFont="1" applyAlignment="1">
      <alignment horizontal="left" indent="5"/>
    </xf>
    <xf numFmtId="0" fontId="8" fillId="0" borderId="0" xfId="0" applyFont="1" applyAlignment="1">
      <alignment horizontal="right"/>
    </xf>
    <xf numFmtId="0" fontId="18" fillId="0" borderId="0" xfId="0" applyFont="1"/>
    <xf numFmtId="0" fontId="18" fillId="0" borderId="0" xfId="0" applyFont="1" applyAlignment="1">
      <alignment horizontal="right"/>
    </xf>
    <xf numFmtId="0" fontId="7" fillId="0" borderId="15" xfId="0" applyFont="1" applyBorder="1"/>
    <xf numFmtId="0" fontId="7" fillId="0" borderId="2" xfId="0" applyFont="1" applyBorder="1" applyAlignment="1">
      <alignment horizontal="center" vertical="center"/>
    </xf>
    <xf numFmtId="0" fontId="18" fillId="0" borderId="4" xfId="0" applyFont="1" applyBorder="1"/>
    <xf numFmtId="0" fontId="18" fillId="0" borderId="0" xfId="0" applyFont="1" applyAlignment="1">
      <alignment vertical="center"/>
    </xf>
    <xf numFmtId="0" fontId="18" fillId="0" borderId="1" xfId="0" applyFont="1" applyBorder="1" applyAlignment="1">
      <alignment horizontal="left" vertical="center"/>
    </xf>
    <xf numFmtId="0" fontId="1" fillId="0" borderId="4" xfId="0" applyFont="1" applyBorder="1"/>
    <xf numFmtId="0" fontId="0" fillId="0" borderId="0" xfId="0" applyAlignment="1">
      <alignment horizontal="left" vertical="top" wrapText="1"/>
    </xf>
    <xf numFmtId="0" fontId="0" fillId="0" borderId="8" xfId="0" applyBorder="1" applyAlignment="1">
      <alignment horizontal="center"/>
    </xf>
    <xf numFmtId="0" fontId="0" fillId="0" borderId="1" xfId="0" applyBorder="1"/>
    <xf numFmtId="0" fontId="0" fillId="0" borderId="8" xfId="0" applyBorder="1"/>
    <xf numFmtId="0" fontId="10" fillId="0" borderId="9" xfId="0" applyFont="1" applyBorder="1" applyAlignment="1">
      <alignment horizontal="center" vertical="center"/>
    </xf>
    <xf numFmtId="0" fontId="0" fillId="0" borderId="9" xfId="0" applyBorder="1"/>
    <xf numFmtId="0" fontId="9" fillId="0" borderId="5" xfId="0" applyFont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4" fillId="0" borderId="5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" fontId="11" fillId="0" borderId="2" xfId="0" applyNumberFormat="1" applyFont="1" applyBorder="1" applyAlignment="1">
      <alignment horizontal="center" vertical="center"/>
    </xf>
    <xf numFmtId="4" fontId="0" fillId="0" borderId="5" xfId="0" applyNumberFormat="1" applyBorder="1"/>
    <xf numFmtId="0" fontId="12" fillId="0" borderId="5" xfId="0" applyFont="1" applyBorder="1" applyAlignment="1">
      <alignment horizontal="center"/>
    </xf>
    <xf numFmtId="0" fontId="13" fillId="0" borderId="5" xfId="0" applyFont="1" applyBorder="1" applyAlignment="1">
      <alignment horizontal="center" vertical="center"/>
    </xf>
    <xf numFmtId="0" fontId="15" fillId="0" borderId="5" xfId="0" applyFont="1" applyBorder="1"/>
    <xf numFmtId="0" fontId="13" fillId="0" borderId="12" xfId="0" applyFont="1" applyBorder="1" applyAlignment="1">
      <alignment horizontal="center" vertical="center"/>
    </xf>
    <xf numFmtId="0" fontId="15" fillId="0" borderId="12" xfId="0" applyFont="1" applyBorder="1"/>
    <xf numFmtId="0" fontId="13" fillId="0" borderId="2" xfId="0" applyFont="1" applyBorder="1" applyAlignment="1">
      <alignment horizontal="center"/>
    </xf>
    <xf numFmtId="0" fontId="16" fillId="0" borderId="5" xfId="0" applyFont="1" applyBorder="1"/>
    <xf numFmtId="0" fontId="7" fillId="0" borderId="5" xfId="0" applyFont="1" applyBorder="1" applyAlignment="1">
      <alignment horizontal="center"/>
    </xf>
    <xf numFmtId="0" fontId="16" fillId="0" borderId="5" xfId="0" applyFont="1" applyBorder="1" applyAlignment="1">
      <alignment horizontal="center"/>
    </xf>
    <xf numFmtId="0" fontId="3" fillId="0" borderId="4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0" fillId="0" borderId="12" xfId="0" applyBorder="1"/>
    <xf numFmtId="0" fontId="12" fillId="0" borderId="2" xfId="0" applyFont="1" applyBorder="1" applyAlignment="1">
      <alignment horizontal="center" vertical="center"/>
    </xf>
    <xf numFmtId="0" fontId="0" fillId="0" borderId="13" xfId="0" applyBorder="1"/>
    <xf numFmtId="0" fontId="0" fillId="0" borderId="2" xfId="0" applyBorder="1" applyAlignment="1">
      <alignment horizontal="left"/>
    </xf>
    <xf numFmtId="0" fontId="11" fillId="0" borderId="2" xfId="0" applyFont="1" applyBorder="1" applyAlignment="1">
      <alignment horizontal="center" vertical="center"/>
    </xf>
    <xf numFmtId="165" fontId="14" fillId="0" borderId="2" xfId="0" applyNumberFormat="1" applyFont="1" applyBorder="1" applyAlignment="1">
      <alignment horizontal="left"/>
    </xf>
    <xf numFmtId="165" fontId="1" fillId="0" borderId="5" xfId="0" applyNumberFormat="1" applyFont="1" applyBorder="1"/>
    <xf numFmtId="0" fontId="8" fillId="0" borderId="5" xfId="0" applyFont="1" applyBorder="1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/>
    </xf>
    <xf numFmtId="0" fontId="0" fillId="0" borderId="0" xfId="0" applyAlignment="1">
      <alignment horizontal="right"/>
    </xf>
    <xf numFmtId="0" fontId="0" fillId="0" borderId="0" xfId="0"/>
    <xf numFmtId="0" fontId="1" fillId="0" borderId="1" xfId="0" applyFont="1" applyBorder="1" applyAlignment="1">
      <alignment horizontal="left"/>
    </xf>
    <xf numFmtId="0" fontId="8" fillId="0" borderId="0" xfId="0" applyFont="1" applyAlignment="1">
      <alignment horizontal="center"/>
    </xf>
    <xf numFmtId="0" fontId="8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11" fillId="0" borderId="1" xfId="0" applyFont="1" applyBorder="1" applyAlignment="1">
      <alignment horizontal="left"/>
    </xf>
    <xf numFmtId="0" fontId="11" fillId="0" borderId="4" xfId="0" applyFont="1" applyBorder="1" applyAlignment="1">
      <alignment horizontal="left"/>
    </xf>
    <xf numFmtId="0" fontId="14" fillId="0" borderId="1" xfId="0" applyFont="1" applyBorder="1" applyAlignment="1">
      <alignment horizontal="left"/>
    </xf>
    <xf numFmtId="0" fontId="3" fillId="0" borderId="1" xfId="0" applyFont="1" applyBorder="1"/>
    <xf numFmtId="0" fontId="13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0" fontId="7" fillId="0" borderId="0" xfId="0" applyFont="1" applyAlignment="1">
      <alignment horizontal="left"/>
    </xf>
    <xf numFmtId="0" fontId="3" fillId="0" borderId="0" xfId="0" applyFont="1" applyAlignment="1">
      <alignment horizontal="left" vertical="center" indent="1"/>
    </xf>
    <xf numFmtId="165" fontId="14" fillId="0" borderId="2" xfId="0" applyNumberFormat="1" applyFont="1" applyBorder="1" applyAlignment="1">
      <alignment horizontal="right"/>
    </xf>
    <xf numFmtId="165" fontId="1" fillId="0" borderId="5" xfId="0" applyNumberFormat="1" applyFont="1" applyBorder="1" applyAlignment="1">
      <alignment horizontal="right"/>
    </xf>
    <xf numFmtId="0" fontId="10" fillId="0" borderId="1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left"/>
    </xf>
    <xf numFmtId="0" fontId="10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3" fillId="0" borderId="5" xfId="0" applyFont="1" applyBorder="1" applyAlignment="1">
      <alignment horizontal="left"/>
    </xf>
    <xf numFmtId="0" fontId="12" fillId="0" borderId="11" xfId="0" applyFont="1" applyBorder="1" applyAlignment="1">
      <alignment horizontal="center"/>
    </xf>
    <xf numFmtId="0" fontId="0" fillId="0" borderId="11" xfId="0" applyBorder="1"/>
    <xf numFmtId="0" fontId="12" fillId="0" borderId="2" xfId="0" applyFont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10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10" fillId="0" borderId="24" xfId="0" applyFont="1" applyBorder="1"/>
    <xf numFmtId="0" fontId="10" fillId="0" borderId="4" xfId="0" applyFont="1" applyBorder="1"/>
    <xf numFmtId="0" fontId="10" fillId="0" borderId="5" xfId="0" applyFont="1" applyBorder="1"/>
    <xf numFmtId="0" fontId="7" fillId="0" borderId="4" xfId="0" applyFont="1" applyBorder="1" applyAlignment="1">
      <alignment horizontal="center"/>
    </xf>
    <xf numFmtId="0" fontId="10" fillId="0" borderId="25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7" fillId="0" borderId="24" xfId="0" applyFont="1" applyBorder="1"/>
    <xf numFmtId="0" fontId="7" fillId="0" borderId="4" xfId="0" applyFont="1" applyBorder="1"/>
    <xf numFmtId="0" fontId="7" fillId="0" borderId="5" xfId="0" applyFont="1" applyBorder="1"/>
    <xf numFmtId="0" fontId="10" fillId="0" borderId="31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10" fillId="0" borderId="19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7" fillId="0" borderId="25" xfId="0" applyFont="1" applyBorder="1" applyAlignment="1">
      <alignment horizontal="center"/>
    </xf>
    <xf numFmtId="0" fontId="7" fillId="0" borderId="36" xfId="0" applyFont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0" xfId="0" applyAlignment="1">
      <alignment horizontal="left" vertical="center" indent="9"/>
    </xf>
    <xf numFmtId="0" fontId="8" fillId="0" borderId="11" xfId="0" applyFont="1" applyBorder="1" applyAlignment="1">
      <alignment horizontal="left" vertical="center"/>
    </xf>
    <xf numFmtId="0" fontId="7" fillId="0" borderId="1" xfId="0" applyFont="1" applyBorder="1"/>
    <xf numFmtId="0" fontId="14" fillId="0" borderId="0" xfId="0" applyFont="1" applyAlignment="1">
      <alignment horizontal="left" indent="7"/>
    </xf>
    <xf numFmtId="0" fontId="8" fillId="0" borderId="9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164" fontId="10" fillId="0" borderId="1" xfId="0" applyNumberFormat="1" applyFont="1" applyBorder="1" applyAlignment="1">
      <alignment horizontal="right"/>
    </xf>
    <xf numFmtId="164" fontId="10" fillId="0" borderId="4" xfId="0" applyNumberFormat="1" applyFont="1" applyBorder="1" applyAlignment="1">
      <alignment horizontal="right"/>
    </xf>
    <xf numFmtId="0" fontId="7" fillId="0" borderId="0" xfId="0" applyFont="1" applyAlignment="1">
      <alignment horizontal="left" vertical="center" indent="7"/>
    </xf>
    <xf numFmtId="0" fontId="7" fillId="0" borderId="0" xfId="0" applyFont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left" vertical="top"/>
    </xf>
    <xf numFmtId="0" fontId="10" fillId="0" borderId="4" xfId="0" applyFont="1" applyBorder="1" applyAlignment="1">
      <alignment horizontal="center"/>
    </xf>
    <xf numFmtId="0" fontId="11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7" fillId="0" borderId="19" xfId="0" applyFont="1" applyBorder="1" applyAlignment="1">
      <alignment horizontal="center"/>
    </xf>
    <xf numFmtId="0" fontId="8" fillId="0" borderId="21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33" xfId="0" applyFont="1" applyBorder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Table Style 1" pivot="0" count="0" xr9:uid="{3C1D4313-1CBE-4F38-864D-5B432C8D7E8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505558</xdr:colOff>
      <xdr:row>66</xdr:row>
      <xdr:rowOff>181415</xdr:rowOff>
    </xdr:from>
    <xdr:to>
      <xdr:col>3</xdr:col>
      <xdr:colOff>783983</xdr:colOff>
      <xdr:row>67</xdr:row>
      <xdr:rowOff>36634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3F6F120-A1DE-2AFA-CF33-D535F4C2217D}"/>
            </a:ext>
          </a:extLst>
        </xdr:cNvPr>
        <xdr:cNvSpPr/>
      </xdr:nvSpPr>
      <xdr:spPr>
        <a:xfrm>
          <a:off x="1846385" y="12776396"/>
          <a:ext cx="791310" cy="45719"/>
        </a:xfrm>
        <a:prstGeom prst="rect">
          <a:avLst/>
        </a:prstGeom>
        <a:solidFill>
          <a:sysClr val="window" lastClr="FFFFFF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</xdr:colOff>
      <xdr:row>68</xdr:row>
      <xdr:rowOff>166761</xdr:rowOff>
    </xdr:from>
    <xdr:to>
      <xdr:col>0</xdr:col>
      <xdr:colOff>398319</xdr:colOff>
      <xdr:row>69</xdr:row>
      <xdr:rowOff>21980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113A575-354D-8252-D392-69F57623B927}"/>
            </a:ext>
          </a:extLst>
        </xdr:cNvPr>
        <xdr:cNvSpPr/>
      </xdr:nvSpPr>
      <xdr:spPr>
        <a:xfrm>
          <a:off x="1" y="13155397"/>
          <a:ext cx="398318" cy="45719"/>
        </a:xfrm>
        <a:prstGeom prst="rect">
          <a:avLst/>
        </a:prstGeom>
        <a:solidFill>
          <a:sysClr val="window" lastClr="FFFFFF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481445</xdr:colOff>
      <xdr:row>68</xdr:row>
      <xdr:rowOff>158968</xdr:rowOff>
    </xdr:from>
    <xdr:to>
      <xdr:col>3</xdr:col>
      <xdr:colOff>714374</xdr:colOff>
      <xdr:row>69</xdr:row>
      <xdr:rowOff>30307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C8238500-ECE6-444A-BFF0-DA6FA197B6A3}"/>
            </a:ext>
          </a:extLst>
        </xdr:cNvPr>
        <xdr:cNvSpPr/>
      </xdr:nvSpPr>
      <xdr:spPr>
        <a:xfrm>
          <a:off x="1823604" y="13147604"/>
          <a:ext cx="748145" cy="61839"/>
        </a:xfrm>
        <a:prstGeom prst="rect">
          <a:avLst/>
        </a:prstGeom>
        <a:solidFill>
          <a:sysClr val="window" lastClr="FFFFFF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82B24-55EC-4507-8E7B-418FE72708D3}">
  <sheetPr codeName="Sheet3">
    <pageSetUpPr fitToPage="1"/>
  </sheetPr>
  <dimension ref="A3:K66"/>
  <sheetViews>
    <sheetView tabSelected="1" view="pageBreakPreview" topLeftCell="A10" zoomScale="115" zoomScaleNormal="160" zoomScaleSheetLayoutView="115" zoomScalePageLayoutView="55" workbookViewId="0">
      <selection activeCell="J36" sqref="J36:K36"/>
    </sheetView>
  </sheetViews>
  <sheetFormatPr defaultRowHeight="15" x14ac:dyDescent="0.25"/>
  <cols>
    <col min="1" max="1" width="13.140625" customWidth="1"/>
    <col min="2" max="2" width="11" customWidth="1"/>
    <col min="3" max="3" width="9.5703125" customWidth="1"/>
    <col min="4" max="4" width="0.85546875" customWidth="1"/>
    <col min="5" max="5" width="12.28515625" customWidth="1"/>
    <col min="6" max="6" width="3.5703125" hidden="1" customWidth="1"/>
    <col min="7" max="7" width="19.28515625" customWidth="1"/>
    <col min="8" max="8" width="14.28515625" customWidth="1"/>
    <col min="9" max="9" width="11.7109375" customWidth="1"/>
    <col min="10" max="10" width="12.28515625" customWidth="1"/>
    <col min="11" max="11" width="19.42578125" customWidth="1"/>
  </cols>
  <sheetData>
    <row r="3" spans="1:11" x14ac:dyDescent="0.25">
      <c r="H3" s="157" t="s">
        <v>53</v>
      </c>
      <c r="I3" s="158"/>
      <c r="J3" s="159"/>
      <c r="K3" s="124"/>
    </row>
    <row r="4" spans="1:11" x14ac:dyDescent="0.25">
      <c r="A4" s="164" t="s">
        <v>0</v>
      </c>
      <c r="B4" s="158"/>
      <c r="C4" s="158"/>
      <c r="D4" s="158"/>
      <c r="E4" s="158"/>
    </row>
    <row r="5" spans="1:11" x14ac:dyDescent="0.25">
      <c r="A5" s="163" t="s">
        <v>26</v>
      </c>
      <c r="B5" s="158"/>
      <c r="C5" s="162"/>
      <c r="D5" s="124"/>
      <c r="E5" s="124"/>
      <c r="F5" s="124"/>
      <c r="G5" s="124"/>
    </row>
    <row r="6" spans="1:11" x14ac:dyDescent="0.25">
      <c r="A6" s="11"/>
      <c r="B6" s="11"/>
      <c r="C6" s="11"/>
      <c r="D6" s="11"/>
      <c r="E6" s="11"/>
    </row>
    <row r="7" spans="1:11" ht="18.75" x14ac:dyDescent="0.3">
      <c r="A7" s="10"/>
      <c r="C7" s="171" t="s">
        <v>36</v>
      </c>
      <c r="D7" s="158"/>
      <c r="E7" s="158"/>
      <c r="F7" s="158"/>
      <c r="G7" s="158"/>
      <c r="H7" s="158"/>
      <c r="I7" s="158"/>
    </row>
    <row r="8" spans="1:11" x14ac:dyDescent="0.25">
      <c r="A8" s="172" t="s">
        <v>1</v>
      </c>
      <c r="B8" s="158"/>
      <c r="C8" s="158"/>
      <c r="D8" s="158"/>
      <c r="E8" s="158"/>
      <c r="F8" s="158"/>
      <c r="G8" s="158"/>
      <c r="H8" s="158"/>
      <c r="I8" s="158"/>
      <c r="J8" s="158"/>
      <c r="K8" s="158"/>
    </row>
    <row r="11" spans="1:11" x14ac:dyDescent="0.25">
      <c r="A11" s="11" t="s">
        <v>27</v>
      </c>
      <c r="B11" s="159"/>
      <c r="C11" s="124"/>
      <c r="D11" s="124"/>
      <c r="E11" s="124"/>
      <c r="F11" s="124"/>
      <c r="G11" s="124"/>
      <c r="H11" s="159"/>
      <c r="I11" s="124"/>
      <c r="J11" s="124"/>
      <c r="K11" s="124"/>
    </row>
    <row r="12" spans="1:11" x14ac:dyDescent="0.25">
      <c r="A12" s="175" t="s">
        <v>52</v>
      </c>
      <c r="B12" s="158"/>
      <c r="C12" s="158"/>
      <c r="D12" s="158"/>
      <c r="E12" s="158"/>
      <c r="F12" s="158"/>
      <c r="G12" s="158"/>
      <c r="H12" s="158"/>
      <c r="I12" s="158"/>
      <c r="J12" s="158"/>
      <c r="K12" s="158"/>
    </row>
    <row r="13" spans="1:11" x14ac:dyDescent="0.25">
      <c r="A13" s="11" t="s">
        <v>28</v>
      </c>
      <c r="B13" s="159"/>
      <c r="C13" s="124"/>
      <c r="D13" s="124"/>
      <c r="E13" s="124"/>
      <c r="F13" s="124"/>
      <c r="G13" s="124"/>
      <c r="H13" s="159"/>
      <c r="I13" s="124"/>
      <c r="J13" s="124"/>
      <c r="K13" s="124"/>
    </row>
    <row r="14" spans="1:11" x14ac:dyDescent="0.25">
      <c r="A14" s="173" t="s">
        <v>51</v>
      </c>
      <c r="B14" s="158"/>
      <c r="C14" s="158"/>
      <c r="D14" s="158"/>
      <c r="E14" s="158"/>
      <c r="F14" s="158"/>
      <c r="G14" s="158"/>
      <c r="H14" s="158"/>
      <c r="I14" s="158"/>
      <c r="J14" s="158"/>
      <c r="K14" s="158"/>
    </row>
    <row r="16" spans="1:11" ht="18" x14ac:dyDescent="0.25">
      <c r="A16" s="165" t="s">
        <v>2</v>
      </c>
      <c r="B16" s="158"/>
      <c r="C16" s="158"/>
      <c r="D16" s="158"/>
      <c r="E16" s="158"/>
      <c r="F16" s="158"/>
      <c r="G16" s="158"/>
      <c r="H16" s="158"/>
      <c r="I16" s="158"/>
      <c r="J16" s="158"/>
      <c r="K16" s="158"/>
    </row>
    <row r="17" spans="1:11" ht="18" x14ac:dyDescent="0.25">
      <c r="A17" s="174" t="s">
        <v>50</v>
      </c>
      <c r="B17" s="158"/>
      <c r="C17" s="178"/>
      <c r="D17" s="124"/>
      <c r="E17" s="124"/>
      <c r="F17" s="23"/>
      <c r="G17" s="178"/>
      <c r="H17" s="124"/>
      <c r="I17" s="178"/>
      <c r="J17" s="124"/>
      <c r="K17" s="124"/>
    </row>
    <row r="18" spans="1:11" x14ac:dyDescent="0.25">
      <c r="A18" s="24"/>
      <c r="B18" s="24"/>
      <c r="C18" s="160" t="s">
        <v>3</v>
      </c>
      <c r="D18" s="158"/>
      <c r="E18" s="158"/>
      <c r="F18" s="24"/>
      <c r="G18" s="160" t="s">
        <v>23</v>
      </c>
      <c r="H18" s="158"/>
      <c r="I18" s="160" t="s">
        <v>25</v>
      </c>
      <c r="J18" s="158"/>
      <c r="K18" s="158"/>
    </row>
    <row r="19" spans="1:11" x14ac:dyDescent="0.25">
      <c r="A19" s="174" t="s">
        <v>29</v>
      </c>
      <c r="B19" s="158"/>
      <c r="C19" s="168"/>
      <c r="D19" s="169"/>
      <c r="E19" s="169"/>
      <c r="F19" s="22"/>
      <c r="G19" s="25" t="s">
        <v>30</v>
      </c>
      <c r="H19" s="170"/>
      <c r="I19" s="170"/>
      <c r="J19" s="24" t="s">
        <v>31</v>
      </c>
      <c r="K19" s="87"/>
    </row>
    <row r="20" spans="1:11" x14ac:dyDescent="0.25">
      <c r="A20" s="56" t="s">
        <v>54</v>
      </c>
      <c r="B20" s="56"/>
      <c r="C20" s="56"/>
      <c r="D20" s="56"/>
      <c r="E20" s="56"/>
      <c r="F20" s="56"/>
      <c r="G20" s="56"/>
      <c r="H20" s="56"/>
      <c r="I20" s="56"/>
      <c r="J20" s="88" t="s">
        <v>55</v>
      </c>
      <c r="K20" s="89"/>
    </row>
    <row r="21" spans="1:11" x14ac:dyDescent="0.25">
      <c r="A21" s="26" t="s">
        <v>32</v>
      </c>
      <c r="B21" s="166"/>
      <c r="C21" s="124"/>
      <c r="D21" s="124"/>
      <c r="E21" s="124"/>
      <c r="F21" s="124"/>
      <c r="G21" s="124"/>
      <c r="H21" s="27" t="s">
        <v>33</v>
      </c>
      <c r="I21" s="166"/>
      <c r="J21" s="124"/>
      <c r="K21" s="124"/>
    </row>
    <row r="22" spans="1:11" x14ac:dyDescent="0.25">
      <c r="A22" s="26" t="s">
        <v>35</v>
      </c>
      <c r="B22" s="167"/>
      <c r="C22" s="129"/>
      <c r="D22" s="129"/>
      <c r="E22" s="129"/>
      <c r="F22" s="129"/>
      <c r="G22" s="129"/>
      <c r="H22" s="28" t="s">
        <v>34</v>
      </c>
      <c r="I22" s="167"/>
      <c r="J22" s="129"/>
      <c r="K22" s="129"/>
    </row>
    <row r="23" spans="1:11" x14ac:dyDescent="0.25">
      <c r="A23" s="181" t="s">
        <v>56</v>
      </c>
      <c r="B23" s="158"/>
      <c r="C23" s="158"/>
      <c r="D23" s="158"/>
      <c r="E23" s="158"/>
      <c r="F23" s="158"/>
      <c r="G23" s="158"/>
      <c r="H23" s="158"/>
      <c r="I23" s="158"/>
      <c r="J23" s="158"/>
      <c r="K23" s="158"/>
    </row>
    <row r="24" spans="1:11" x14ac:dyDescent="0.25">
      <c r="A24" s="161"/>
      <c r="B24" s="124"/>
      <c r="C24" s="124"/>
      <c r="D24" s="124"/>
      <c r="E24" s="124"/>
      <c r="F24" s="124"/>
      <c r="G24" s="124"/>
      <c r="H24" s="124"/>
      <c r="I24" s="124"/>
      <c r="J24" s="124"/>
      <c r="K24" s="124"/>
    </row>
    <row r="25" spans="1:11" x14ac:dyDescent="0.25">
      <c r="A25" s="126" t="s">
        <v>4</v>
      </c>
      <c r="B25" s="127"/>
      <c r="C25" s="127"/>
      <c r="D25" s="127"/>
      <c r="E25" s="127"/>
      <c r="F25" s="127"/>
      <c r="G25" s="127"/>
      <c r="H25" s="127"/>
      <c r="I25" s="127"/>
      <c r="J25" s="127"/>
      <c r="K25" s="127"/>
    </row>
    <row r="26" spans="1:11" x14ac:dyDescent="0.25">
      <c r="A26" s="156" t="s">
        <v>5</v>
      </c>
      <c r="B26" s="129"/>
      <c r="C26" s="130"/>
      <c r="D26" s="29"/>
      <c r="E26" s="180" t="s">
        <v>10</v>
      </c>
      <c r="F26" s="129"/>
      <c r="G26" s="129"/>
      <c r="H26" s="129"/>
      <c r="I26" s="129"/>
      <c r="J26" s="129"/>
      <c r="K26" s="129"/>
    </row>
    <row r="27" spans="1:11" x14ac:dyDescent="0.25">
      <c r="A27" s="30" t="s">
        <v>6</v>
      </c>
      <c r="B27" s="30" t="s">
        <v>7</v>
      </c>
      <c r="C27" s="30" t="s">
        <v>8</v>
      </c>
      <c r="D27" s="57"/>
      <c r="E27" s="135" t="s">
        <v>6</v>
      </c>
      <c r="F27" s="130"/>
      <c r="G27" s="58" t="s">
        <v>7</v>
      </c>
      <c r="H27" s="30" t="s">
        <v>9</v>
      </c>
      <c r="I27" s="30" t="s">
        <v>11</v>
      </c>
      <c r="J27" s="179" t="s">
        <v>20</v>
      </c>
      <c r="K27" s="130"/>
    </row>
    <row r="28" spans="1:11" x14ac:dyDescent="0.25">
      <c r="A28" s="31"/>
      <c r="B28" s="31"/>
      <c r="C28" s="31"/>
      <c r="D28" s="29"/>
      <c r="E28" s="136"/>
      <c r="F28" s="137"/>
      <c r="G28" s="107"/>
      <c r="H28" s="59"/>
      <c r="I28" s="90" t="str">
        <f t="array" ref="I28">_xlfn.IFS(
    E28="COMMERCIAL", _xlfn.IFS(H28="C-1",1400, H28="C-2",1030, H28="C-3",850, H28="C-4",720, TRUE, ""),
    E28="RESIDENTIAL", _xlfn.IFS(H28="R-1",760, H28="R-2",610, H28="R-3",470, H28="R-4",280, H28="R-5",200, TRUE, ""),
    E28="COCONUT LAND", _xlfn.IFS(OR(H28=1,H28="1"),93830, OR(H28=2,H28="2"),84500, OR(H28=3,H28="3"),76130, TRUE, ""),
    E28="RICE LAND W/ IRRIGATION", _xlfn.IFS(OR(H28=1,H28="1"),188760, OR(H28=2,H28="2"),174390, OR(H28=3,H28="3"),126950, TRUE, ""),
    E28="RICE LAND W/O IRRIGATION", _xlfn.IFS(OR(H28=1,H28="1"),82450, OR(H28=2,H28="2"),75070, OR(H28=3,H28="3"),52590, TRUE, ""),
    E28="UPLAND RICE", 28540,
    E28="ORCHARD", 44100,
    E28="COGON LAND", 46460,
    E28="NIPA LAND", 55070,
    E28="FOREST LAND", 59660,
    E28="FISHPOND", 218240,
    TRUE, ""
)</f>
        <v/>
      </c>
      <c r="J28" s="133" t="str">
        <f>IFERROR(IF(MROUND(G28*I28,10)=0, "", MROUND(G28*I28,10)), "")</f>
        <v/>
      </c>
      <c r="K28" s="134"/>
    </row>
    <row r="29" spans="1:11" x14ac:dyDescent="0.25">
      <c r="A29" s="34"/>
      <c r="B29" s="34"/>
      <c r="C29" s="34"/>
      <c r="D29" s="29"/>
      <c r="E29" s="138"/>
      <c r="F29" s="139"/>
      <c r="G29" s="108"/>
      <c r="H29" s="60"/>
      <c r="I29" s="90" t="str">
        <f t="array" ref="I29">_xlfn.IFS(
    E29="COMMERCIAL", _xlfn.IFS(H29="C-1",1400, H29="C-2",1030, H29="C-3",850, H29="C-4",720, TRUE, ""),
    E29="RESIDENTIAL", _xlfn.IFS(H29="R-1",760, H29="R-2",610, H29="R-3",470, H29="R-4",280, H29="R-5",200, TRUE, ""),
    E29="COCONUT LAND", _xlfn.IFS(OR(H29=1,H29="1"),93830, OR(H29=2,H29="2"),84500, OR(H29=3,H29="3"),76130, TRUE, ""),
    E29="RICE LAND W/ IRRIGATION", _xlfn.IFS(OR(H29=1,H29="1"),188760, OR(H29=2,H29="2"),174390, OR(H29=3,H29="3"),126950, TRUE, ""),
    E29="RICE LAND W/O IRRIGATION", _xlfn.IFS(OR(H29=1,H29="1"),82450, OR(H29=2,H29="2"),75070, OR(H29=3,H29="3"),52590, TRUE, ""),
    E29="UPLAND RICE", 28540,
    E29="ORCHARD", 44100,
    E29="COGON LAND", 46460,
    E29="NIPA LAND", 55070,
    E29="FOREST LAND", 59660,
    E29="FISHPOND", 218240,
    TRUE, ""
)</f>
        <v/>
      </c>
      <c r="J29" s="133" t="str">
        <f t="shared" ref="J29:J31" si="0">IFERROR(IF(MROUND(G29*I29,10)=0, "", MROUND(G29*I29,10)), "")</f>
        <v/>
      </c>
      <c r="K29" s="134"/>
    </row>
    <row r="30" spans="1:11" x14ac:dyDescent="0.25">
      <c r="A30" s="31"/>
      <c r="B30" s="31"/>
      <c r="C30" s="31"/>
      <c r="D30" s="29"/>
      <c r="E30" s="140"/>
      <c r="F30" s="141"/>
      <c r="G30" s="109"/>
      <c r="H30" s="91"/>
      <c r="I30" s="90" t="str">
        <f t="array" ref="I30">_xlfn.IFS(
    E30="COMMERCIAL", _xlfn.IFS(H30="C-1",1400, H30="C-2",1030, H30="C-3",850, H30="C-4",720, TRUE, ""),
    E30="RESIDENTIAL", _xlfn.IFS(H30="R-1",760, H30="R-2",610, H30="R-3",470, H30="R-4",280, H30="R-5",200, TRUE, ""),
    E30="COCONUT LAND", _xlfn.IFS(OR(H30=1,H30="1"),93830, OR(H30=2,H30="2"),84500, OR(H30=3,H30="3"),76130, TRUE, ""),
    E30="RICE LAND W/ IRRIGATION", _xlfn.IFS(OR(H30=1,H30="1"),188760, OR(H30=2,H30="2"),174390, OR(H30=3,H30="3"),126950, TRUE, ""),
    E30="RICE LAND W/O IRRIGATION", _xlfn.IFS(OR(H30=1,H30="1"),82450, OR(H30=2,H30="2"),75070, OR(H30=3,H30="3"),52590, TRUE, ""),
    E30="UPLAND RICE", 28540,
    E30="ORCHARD", 44100,
    E30="COGON LAND", 46460,
    E30="NIPA LAND", 55070,
    E30="FOREST LAND", 59660,
    E30="FISHPOND", 218240,
    TRUE, ""
)</f>
        <v/>
      </c>
      <c r="J30" s="133" t="str">
        <f t="shared" si="0"/>
        <v/>
      </c>
      <c r="K30" s="134"/>
    </row>
    <row r="31" spans="1:11" x14ac:dyDescent="0.25">
      <c r="A31" s="31"/>
      <c r="B31" s="31"/>
      <c r="C31" s="31"/>
      <c r="D31" s="29"/>
      <c r="E31" s="142"/>
      <c r="F31" s="130"/>
      <c r="G31" s="110"/>
      <c r="H31" s="33"/>
      <c r="I31" s="90"/>
      <c r="J31" s="133" t="str">
        <f t="shared" si="0"/>
        <v/>
      </c>
      <c r="K31" s="134"/>
    </row>
    <row r="32" spans="1:11" x14ac:dyDescent="0.25">
      <c r="A32" s="31"/>
      <c r="B32" s="31"/>
      <c r="C32" s="31"/>
      <c r="D32" s="29"/>
      <c r="E32" s="142"/>
      <c r="F32" s="130"/>
      <c r="G32" s="110"/>
      <c r="H32" s="33" t="s">
        <v>18</v>
      </c>
      <c r="I32" s="90" t="str">
        <f t="array" ref="I32">_xlfn.IFS(
    E32="COMMERCIAL", _xlfn.IFS(H32="C-1",1400, H32="C-2",1030, H32="C-3",850, H32="C-4",720, TRUE, ""),
    E32="RESIDENTIAL", _xlfn.IFS(H32="R-1",760, H32="R-2",610, H32="R-3",470, H32="R-4",280, H32="R-5",200, TRUE, ""),
    E32="COCONUT LAND", _xlfn.IFS(OR(H32=1,H32="1"),93830, OR(H32=2,H32="2"),84500, OR(H32=3,H32="3"),76130, TRUE, ""),
    E32="RICE LAND W/ IRRIGATION", _xlfn.IFS(OR(H32=1,H32="1"),188760, OR(H32=2,H32="2"),174390, OR(H32=3,H32="3"),126950, TRUE, ""),
    E32="RICE LAND W/O IRRIGATION", _xlfn.IFS(OR(H32=1,H32="1"),82450, OR(H32=2,H32="2"),75070, OR(H32=3,H32="3"),52590, TRUE, ""),
    E32="UPLAND RICE", 28540,
    E32="ORCHARD", 44100,
    E32="COGON LAND", 46460,
    E32="NIPA LAND", 55070,
    E32="FOREST LAND", 59660,
    E32="FISHPOND", 218240,
    TRUE, ""
)</f>
        <v/>
      </c>
      <c r="J32" s="150" t="str">
        <f t="shared" ref="J32:J34" si="1">IFERROR(MROUND(G32*I32,10),"")</f>
        <v/>
      </c>
      <c r="K32" s="130"/>
    </row>
    <row r="33" spans="1:11" x14ac:dyDescent="0.25">
      <c r="A33" s="31"/>
      <c r="B33" s="31"/>
      <c r="C33" s="31"/>
      <c r="D33" s="29"/>
      <c r="E33" s="142"/>
      <c r="F33" s="130"/>
      <c r="G33" s="110"/>
      <c r="H33" s="33" t="s">
        <v>18</v>
      </c>
      <c r="I33" s="90" t="str">
        <f t="array" ref="I33">_xlfn.IFS(
    E33="COMMERCIAL", _xlfn.IFS(H33="C-1",1400, H33="C-2",1030, H33="C-3",850, H33="C-4",720, TRUE, ""),
    E33="RESIDENTIAL", _xlfn.IFS(H33="R-1",760, H33="R-2",610, H33="R-3",470, H33="R-4",280, H33="R-5",200, TRUE, ""),
    E33="COCONUT LAND", _xlfn.IFS(OR(H33=1,H33="1"),93830, OR(H33=2,H33="2"),84500, OR(H33=3,H33="3"),76130, TRUE, ""),
    E33="RICE LAND W/ IRRIGATION", _xlfn.IFS(OR(H33=1,H33="1"),188760, OR(H33=2,H33="2"),174390, OR(H33=3,H33="3"),126950, TRUE, ""),
    E33="RICE LAND W/O IRRIGATION", _xlfn.IFS(OR(H33=1,H33="1"),82450, OR(H33=2,H33="2"),75070, OR(H33=3,H33="3"),52590, TRUE, ""),
    E33="UPLAND RICE", 28540,
    E33="ORCHARD", 44100,
    E33="COGON LAND", 46460,
    E33="NIPA LAND", 55070,
    E33="FOREST LAND", 59660,
    E33="FISHPOND", 218240,
    TRUE, ""
)</f>
        <v/>
      </c>
      <c r="J33" s="150" t="str">
        <f t="shared" si="1"/>
        <v/>
      </c>
      <c r="K33" s="130"/>
    </row>
    <row r="34" spans="1:11" x14ac:dyDescent="0.25">
      <c r="A34" s="31"/>
      <c r="B34" s="31"/>
      <c r="C34" s="31"/>
      <c r="D34" s="29"/>
      <c r="E34" s="142"/>
      <c r="F34" s="130"/>
      <c r="G34" s="106"/>
      <c r="H34" s="33" t="s">
        <v>18</v>
      </c>
      <c r="I34" s="90" t="str">
        <f t="array" ref="I34">_xlfn.IFS(
    E34="COMMERCIAL", _xlfn.IFS(H34="C-1",1400, H34="C-2",1030, H34="C-3",850, H34="C-4",720, TRUE, ""),
    E34="RESIDENTIAL", _xlfn.IFS(H34="R-1",760, H34="R-2",610, H34="R-3",470, H34="R-4",280, H34="R-5",200, TRUE, ""),
    E34="COCONUT LAND", _xlfn.IFS(OR(H34=1,H34="1"),93830, OR(H34=2,H34="2"),84500, OR(H34=3,H34="3"),76130, TRUE, ""),
    E34="RICE LAND W/ IRRIGATION", _xlfn.IFS(OR(H34=1,H34="1"),188760, OR(H34=2,H34="2"),174390, OR(H34=3,H34="3"),126950, TRUE, ""),
    E34="RICE LAND W/O IRRIGATION", _xlfn.IFS(OR(H34=1,H34="1"),82450, OR(H34=2,H34="2"),75070, OR(H34=3,H34="3"),52590, TRUE, ""),
    E34="UPLAND RICE", 28540,
    E34="ORCHARD", 44100,
    E34="COGON LAND", 46460,
    E34="NIPA LAND", 55070,
    E34="FOREST LAND", 59660,
    E34="FISHPOND", 218240,
    TRUE, ""
)</f>
        <v/>
      </c>
      <c r="J34" s="150" t="str">
        <f t="shared" si="1"/>
        <v/>
      </c>
      <c r="K34" s="130"/>
    </row>
    <row r="35" spans="1:11" x14ac:dyDescent="0.25">
      <c r="A35" s="31"/>
      <c r="B35" s="31"/>
      <c r="C35" s="31"/>
      <c r="D35" s="29"/>
      <c r="E35" s="153" t="s">
        <v>15</v>
      </c>
      <c r="F35" s="130"/>
      <c r="G35" s="32"/>
      <c r="H35" s="33"/>
      <c r="I35" s="33"/>
      <c r="J35" s="176"/>
      <c r="K35" s="177"/>
    </row>
    <row r="36" spans="1:11" x14ac:dyDescent="0.25">
      <c r="A36" s="36" t="s">
        <v>15</v>
      </c>
      <c r="B36" s="37"/>
      <c r="C36" s="38" t="s">
        <v>13</v>
      </c>
      <c r="D36" s="29"/>
      <c r="E36" s="153" t="s">
        <v>24</v>
      </c>
      <c r="F36" s="129"/>
      <c r="G36" s="129"/>
      <c r="H36" s="129"/>
      <c r="I36" s="130"/>
      <c r="J36" s="151"/>
      <c r="K36" s="152"/>
    </row>
    <row r="37" spans="1:11" x14ac:dyDescent="0.25">
      <c r="A37" s="174" t="s">
        <v>48</v>
      </c>
      <c r="B37" s="158"/>
      <c r="C37" s="158"/>
      <c r="D37" s="158"/>
      <c r="E37" s="158"/>
      <c r="F37" s="158"/>
      <c r="G37" s="158"/>
      <c r="H37" s="158"/>
      <c r="I37" s="158"/>
      <c r="J37" s="158"/>
      <c r="K37" s="158"/>
    </row>
    <row r="38" spans="1:11" x14ac:dyDescent="0.25">
      <c r="A38" s="183" t="s">
        <v>57</v>
      </c>
      <c r="B38" s="158"/>
      <c r="C38" s="158"/>
      <c r="D38" s="158"/>
      <c r="E38" s="158"/>
      <c r="F38" s="158"/>
      <c r="G38" s="158"/>
      <c r="H38" s="158"/>
      <c r="I38" s="158"/>
      <c r="J38" s="158"/>
      <c r="K38" s="158"/>
    </row>
    <row r="39" spans="1:11" x14ac:dyDescent="0.25">
      <c r="A39" s="156" t="s">
        <v>16</v>
      </c>
      <c r="B39" s="129"/>
      <c r="C39" s="130"/>
      <c r="D39" s="39"/>
      <c r="E39" s="34" t="s">
        <v>58</v>
      </c>
      <c r="F39" s="61"/>
      <c r="G39" s="62"/>
      <c r="H39" s="128" t="s">
        <v>10</v>
      </c>
      <c r="I39" s="129"/>
      <c r="J39" s="129"/>
      <c r="K39" s="130"/>
    </row>
    <row r="40" spans="1:11" x14ac:dyDescent="0.25">
      <c r="A40" s="189" t="s">
        <v>22</v>
      </c>
      <c r="B40" s="189" t="s">
        <v>17</v>
      </c>
      <c r="C40" s="147" t="s">
        <v>8</v>
      </c>
      <c r="D40" s="29"/>
      <c r="E40" s="40" t="s">
        <v>18</v>
      </c>
      <c r="F40" s="41"/>
      <c r="G40" s="42"/>
      <c r="H40" s="155" t="s">
        <v>108</v>
      </c>
      <c r="I40" s="155" t="s">
        <v>21</v>
      </c>
      <c r="J40" s="155" t="s">
        <v>109</v>
      </c>
      <c r="K40" s="155" t="s">
        <v>49</v>
      </c>
    </row>
    <row r="41" spans="1:11" x14ac:dyDescent="0.25">
      <c r="A41" s="148"/>
      <c r="B41" s="148"/>
      <c r="C41" s="148"/>
      <c r="D41" s="29"/>
      <c r="E41" s="41" t="s">
        <v>37</v>
      </c>
      <c r="F41" s="41"/>
      <c r="G41" s="63"/>
      <c r="H41" s="148"/>
      <c r="I41" s="148"/>
      <c r="J41" s="185"/>
      <c r="K41" s="148"/>
    </row>
    <row r="42" spans="1:11" x14ac:dyDescent="0.25">
      <c r="A42" s="43"/>
      <c r="B42" s="43"/>
      <c r="C42" s="44"/>
      <c r="D42" s="29"/>
      <c r="E42" s="41" t="s">
        <v>38</v>
      </c>
      <c r="F42" s="41"/>
      <c r="G42" s="42"/>
      <c r="H42" s="64"/>
      <c r="I42" s="65"/>
      <c r="J42" s="64" t="str" cm="1">
        <f t="array" ref="J42">_xlfn.IFS(
    H42="COCO BRG.-1", 480,
    H42="COCO BRG.-2", 420,
    H42="COCO BRG.-3", 330,
    H42="AVOCADO", 310,
    H42="BANANA", 200,
    H42="CACAO", 300,
    H42="CALAMANSI", 360,
    H42="CAMANSI", 420,
    H42="CHICO", 630,
    H42="COFFEE", 250,
    H42="JACKFRUIT", 840,
    H42="LANZONES", 460,
    H42="MABOLO", 350,
    H42="MANGO", 1750,
    H42="ORANGE", 460,
    H42="RAMBUTAN", 360,
    H42="SANTOL", 620,
    H42="SINEGUELAS", 310,
    H42="STAR APPLE", 790,
    H42="TAMARIND", 350,
    H42="BAMBOO", 460,
    H42="BURI", 410,
    H42="NIPA", 240,
    TRUE, ""
)</f>
        <v/>
      </c>
      <c r="K42" s="95" t="str" cm="1">
        <f t="array" ref="K42">IF(ISNUMBER(I42), _xlfn.IFS(
    H42="COCO BRG.-1", 480,
    H42="COCO BRG.-2", 420,
    H42="COCO BRG.-3", 330,
    H42="AVOCADO", 310,
    H42="BANANA", 200,
    H42="CACAO", 300,
    H42="CALAMANSI", 360,
    H42="CAMANSI", 420,
    H42="CHICO", 630,
    H42="COFFEE", 250,
    H42="JACKFRUIT", 840,
    H42="LANZONES", 460,
    H42="MABOLO", 350,
    H42="MANGO", 1750,
    H42="ORANGE", 460,
    H42="RAMBUTAN", 360,
    H42="SANTOL", 620,
    H42="SINEGUELAS", 310,
    H42="STAR APPLE", 790,
    H42="TAMARIND", 350,
    H42="BAMBOO", 460,
    H42="BURI", 410,
    H42="NIPA", 240,
    TRUE, ""
) * I42, "")</f>
        <v/>
      </c>
    </row>
    <row r="43" spans="1:11" x14ac:dyDescent="0.25">
      <c r="A43" s="43"/>
      <c r="B43" s="43"/>
      <c r="C43" s="44"/>
      <c r="D43" s="29"/>
      <c r="E43" s="41" t="s">
        <v>40</v>
      </c>
      <c r="F43" s="41"/>
      <c r="G43" s="42"/>
      <c r="H43" s="45"/>
      <c r="I43" s="46"/>
      <c r="J43" s="64" t="str" cm="1">
        <f t="array" ref="J43">_xlfn.IFS(
    H43="COCO BRG.-1", 480,
    H43="COCO BRG.-2", 420,
    H43="COCO BRG.-3", 330,
    H43="AVOCADO", 310,
    H43="BANANA", 200,
    H43="CACAO", 300,
    H43="CALAMANSI", 360,
    H43="CAMANSI", 420,
    H43="CHICO", 630,
    H43="COFFEE", 250,
    H43="JACKFRUIT", 840,
    H43="LANZONES", 460,
    H43="MABOLO", 350,
    H43="MANGO", 1750,
    H43="ORANGE", 460,
    H43="RAMBUTAN", 360,
    H43="SANTOL", 620,
    H43="SINEGUELAS", 310,
    H43="STAR APPLE", 790,
    H43="TAMARIND", 350,
    H43="BAMBOO", 460,
    H43="BURI", 410,
    H43="NIPA", 240,
    TRUE, ""
)</f>
        <v/>
      </c>
      <c r="K43" s="95" t="str" cm="1">
        <f t="array" ref="K43">IF(ISNUMBER(I43), _xlfn.IFS(
    H43="COCO BRG.-1", 480,
    H43="COCO BRG.-2", 420,
    H43="COCO BRG.-3", 330,
    H43="AVOCADO", 310,
    H43="BANANA", 200,
    H43="CACAO", 300,
    H43="CALAMANSI", 360,
    H43="CAMANSI", 420,
    H43="CHICO", 630,
    H43="COFFEE", 250,
    H43="JACKFRUIT", 840,
    H43="LANZONES", 460,
    H43="MABOLO", 350,
    H43="MANGO", 1750,
    H43="ORANGE", 460,
    H43="RAMBUTAN", 360,
    H43="SANTOL", 620,
    H43="SINEGUELAS", 310,
    H43="STAR APPLE", 790,
    H43="TAMARIND", 350,
    H43="BAMBOO", 460,
    H43="BURI", 410,
    H43="NIPA", 240,
    TRUE, ""
) * I43, "")</f>
        <v/>
      </c>
    </row>
    <row r="44" spans="1:11" x14ac:dyDescent="0.25">
      <c r="A44" s="47"/>
      <c r="B44" s="47"/>
      <c r="C44" s="47"/>
      <c r="D44" s="29"/>
      <c r="E44" s="48" t="s">
        <v>39</v>
      </c>
      <c r="F44" s="48"/>
      <c r="G44" s="92"/>
      <c r="H44" s="31"/>
      <c r="I44" s="31"/>
      <c r="J44" s="64" t="str" cm="1">
        <f t="array" ref="J44">_xlfn.IFS(
    H44="COCO BRG.-1", 480,
    H44="COCO BRG.-2", 420,
    H44="COCO BRG.-3", 330,
    H44="AVOCADO", 310,
    H44="BANANA", 200,
    H44="CACAO", 300,
    H44="CALAMANSI", 360,
    H44="CAMANSI", 420,
    H44="CHICO", 630,
    H44="COFFEE", 250,
    H44="JACKFRUIT", 840,
    H44="LANZONES", 460,
    H44="MABOLO", 350,
    H44="MANGO", 1750,
    H44="ORANGE", 460,
    H44="RAMBUTAN", 360,
    H44="SANTOL", 620,
    H44="SINEGUELAS", 310,
    H44="STAR APPLE", 790,
    H44="TAMARIND", 350,
    H44="BAMBOO", 460,
    H44="BURI", 410,
    H44="NIPA", 240,
    TRUE, ""
)</f>
        <v/>
      </c>
      <c r="K44" s="95" t="str" cm="1">
        <f t="array" ref="K44">IF(ISNUMBER(I44), _xlfn.IFS(
    H44="COCO BRG.-1", 480,
    H44="COCO BRG.-2", 420,
    H44="COCO BRG.-3", 330,
    H44="AVOCADO", 310,
    H44="BANANA", 200,
    H44="CACAO", 300,
    H44="CALAMANSI", 360,
    H44="CAMANSI", 420,
    H44="CHICO", 630,
    H44="COFFEE", 250,
    H44="JACKFRUIT", 840,
    H44="LANZONES", 460,
    H44="MABOLO", 350,
    H44="MANGO", 1750,
    H44="ORANGE", 460,
    H44="RAMBUTAN", 360,
    H44="SANTOL", 620,
    H44="SINEGUELAS", 310,
    H44="STAR APPLE", 790,
    H44="TAMARIND", 350,
    H44="BAMBOO", 460,
    H44="BURI", 410,
    H44="NIPA", 240,
    TRUE, ""
) * I44, "")</f>
        <v/>
      </c>
    </row>
    <row r="45" spans="1:11" x14ac:dyDescent="0.25">
      <c r="A45" s="50"/>
      <c r="B45" s="50"/>
      <c r="C45" s="50"/>
      <c r="D45" s="29"/>
      <c r="E45" s="187" t="s">
        <v>18</v>
      </c>
      <c r="F45" s="158"/>
      <c r="G45" s="188"/>
      <c r="H45" s="51"/>
      <c r="I45" s="35"/>
      <c r="J45" s="64" t="str" cm="1">
        <f t="array" ref="J45">_xlfn.IFS(
    H45="COCO BRG.-1", 480,
    H45="COCO BRG.-2", 420,
    H45="COCO BRG.-3", 330,
    H45="AVOCADO", 310,
    H45="BANANA", 200,
    H45="CACAO", 300,
    H45="CALAMANSI", 360,
    H45="CAMANSI", 420,
    H45="CHICO", 630,
    H45="COFFEE", 250,
    H45="JACKFRUIT", 840,
    H45="LANZONES", 460,
    H45="MABOLO", 350,
    H45="MANGO", 1750,
    H45="ORANGE", 460,
    H45="RAMBUTAN", 360,
    H45="SANTOL", 620,
    H45="SINEGUELAS", 310,
    H45="STAR APPLE", 790,
    H45="TAMARIND", 350,
    H45="BAMBOO", 460,
    H45="BURI", 410,
    H45="NIPA", 240,
    TRUE, ""
)</f>
        <v/>
      </c>
      <c r="K45" s="95" t="str" cm="1">
        <f t="array" ref="K45">IF(ISNUMBER(I45), _xlfn.IFS(
    H45="COCO BRG.-1", 480,
    H45="COCO BRG.-2", 420,
    H45="COCO BRG.-3", 330,
    H45="AVOCADO", 310,
    H45="BANANA", 200,
    H45="CACAO", 300,
    H45="CALAMANSI", 360,
    H45="CAMANSI", 420,
    H45="CHICO", 630,
    H45="COFFEE", 250,
    H45="JACKFRUIT", 840,
    H45="LANZONES", 460,
    H45="MABOLO", 350,
    H45="MANGO", 1750,
    H45="ORANGE", 460,
    H45="RAMBUTAN", 360,
    H45="SANTOL", 620,
    H45="SINEGUELAS", 310,
    H45="STAR APPLE", 790,
    H45="TAMARIND", 350,
    H45="BAMBOO", 460,
    H45="BURI", 410,
    H45="NIPA", 240,
    TRUE, ""
) * I45, "")</f>
        <v/>
      </c>
    </row>
    <row r="46" spans="1:11" x14ac:dyDescent="0.25">
      <c r="A46" s="47"/>
      <c r="B46" s="47"/>
      <c r="C46" s="47"/>
      <c r="D46" s="29"/>
      <c r="E46" s="41" t="s">
        <v>41</v>
      </c>
      <c r="F46" s="48"/>
      <c r="G46" s="42" t="s">
        <v>42</v>
      </c>
      <c r="H46" s="31"/>
      <c r="I46" s="31"/>
      <c r="J46" s="49"/>
      <c r="K46" s="98"/>
    </row>
    <row r="47" spans="1:11" x14ac:dyDescent="0.25">
      <c r="A47" s="52"/>
      <c r="B47" s="52"/>
      <c r="C47" s="52"/>
      <c r="D47" s="29"/>
      <c r="E47" s="48" t="s">
        <v>43</v>
      </c>
      <c r="F47" s="48"/>
      <c r="G47" s="92"/>
      <c r="H47" s="31"/>
      <c r="I47" s="31"/>
      <c r="J47" s="49"/>
      <c r="K47" s="98"/>
    </row>
    <row r="48" spans="1:11" x14ac:dyDescent="0.25">
      <c r="A48" s="47"/>
      <c r="B48" s="71"/>
      <c r="C48" s="71"/>
      <c r="D48" s="29"/>
      <c r="E48" s="41" t="s">
        <v>45</v>
      </c>
      <c r="F48" s="48"/>
      <c r="G48" s="42" t="s">
        <v>44</v>
      </c>
      <c r="H48" s="31"/>
      <c r="I48" s="31"/>
      <c r="J48" s="49"/>
      <c r="K48" s="98"/>
    </row>
    <row r="49" spans="1:11" x14ac:dyDescent="0.25">
      <c r="A49" s="47"/>
      <c r="B49" s="47"/>
      <c r="C49" s="50"/>
      <c r="D49" s="29"/>
      <c r="E49" s="53" t="s">
        <v>46</v>
      </c>
      <c r="F49" s="53"/>
      <c r="G49" s="92"/>
      <c r="H49" s="54"/>
      <c r="I49" s="31"/>
      <c r="J49" s="49"/>
      <c r="K49" s="98"/>
    </row>
    <row r="50" spans="1:11" x14ac:dyDescent="0.25">
      <c r="A50" s="52"/>
      <c r="B50" s="52"/>
      <c r="C50" s="52"/>
      <c r="D50" s="29"/>
      <c r="E50" s="55" t="s">
        <v>47</v>
      </c>
      <c r="F50" s="53"/>
      <c r="G50" s="92"/>
      <c r="H50" s="31"/>
      <c r="I50" s="31"/>
      <c r="J50" s="49"/>
      <c r="K50" s="98"/>
    </row>
    <row r="51" spans="1:11" x14ac:dyDescent="0.25">
      <c r="A51" s="16"/>
      <c r="B51" s="16"/>
      <c r="C51" s="16"/>
      <c r="D51" s="12"/>
      <c r="E51" s="123"/>
      <c r="F51" s="124"/>
      <c r="G51" s="125"/>
      <c r="H51" s="17"/>
      <c r="I51" s="17"/>
      <c r="J51" s="18"/>
      <c r="K51" s="99"/>
    </row>
    <row r="52" spans="1:11" x14ac:dyDescent="0.25">
      <c r="A52" s="16" t="s">
        <v>18</v>
      </c>
      <c r="B52" s="16"/>
      <c r="C52" s="16"/>
      <c r="D52" s="12"/>
      <c r="E52" s="4" t="s">
        <v>15</v>
      </c>
      <c r="F52" s="4"/>
      <c r="G52" s="100"/>
      <c r="H52" s="96"/>
      <c r="I52" s="96"/>
      <c r="J52" s="17"/>
      <c r="K52" s="93" t="str">
        <f>IF(SUM(K42:K51)=0, "", MROUND(SUM(K42:K51), 10))</f>
        <v/>
      </c>
    </row>
    <row r="53" spans="1:11" x14ac:dyDescent="0.25">
      <c r="A53" s="1" t="s">
        <v>15</v>
      </c>
      <c r="B53" s="16"/>
      <c r="C53" s="1" t="s">
        <v>13</v>
      </c>
      <c r="D53" s="14"/>
      <c r="E53" s="2" t="s">
        <v>14</v>
      </c>
      <c r="F53" s="2"/>
      <c r="G53" s="2"/>
      <c r="H53" s="190"/>
      <c r="I53" s="129"/>
      <c r="J53" s="130"/>
      <c r="K53" s="93" t="str">
        <f>IF(SUM(K42:K51)=0, "", MROUND(SUM(K42:K51), 10))</f>
        <v/>
      </c>
    </row>
    <row r="54" spans="1:11" x14ac:dyDescent="0.25">
      <c r="A54" s="144"/>
      <c r="B54" s="129"/>
      <c r="C54" s="129"/>
      <c r="D54" s="129"/>
      <c r="E54" s="129"/>
      <c r="F54" s="129"/>
      <c r="G54" s="129"/>
      <c r="H54" s="129"/>
      <c r="I54" s="129"/>
      <c r="J54" s="129"/>
      <c r="K54" s="129"/>
    </row>
    <row r="55" spans="1:11" x14ac:dyDescent="0.25">
      <c r="A55" s="154" t="s">
        <v>59</v>
      </c>
      <c r="B55" s="124"/>
      <c r="C55" s="124"/>
      <c r="D55" s="124"/>
      <c r="E55" s="124"/>
      <c r="F55" s="124"/>
      <c r="G55" s="124"/>
      <c r="H55" s="124"/>
      <c r="I55" s="124"/>
      <c r="J55" s="124"/>
      <c r="K55" s="124"/>
    </row>
    <row r="56" spans="1:11" x14ac:dyDescent="0.25">
      <c r="A56" s="131" t="s">
        <v>16</v>
      </c>
      <c r="B56" s="129"/>
      <c r="C56" s="130"/>
      <c r="D56" s="66"/>
      <c r="E56" s="132" t="s">
        <v>60</v>
      </c>
      <c r="F56" s="129"/>
      <c r="G56" s="129"/>
      <c r="H56" s="129"/>
      <c r="I56" s="129"/>
      <c r="J56" s="129"/>
      <c r="K56" s="129"/>
    </row>
    <row r="57" spans="1:11" x14ac:dyDescent="0.25">
      <c r="A57" s="6" t="s">
        <v>6</v>
      </c>
      <c r="B57" s="5" t="s">
        <v>7</v>
      </c>
      <c r="C57" s="5" t="s">
        <v>8</v>
      </c>
      <c r="D57" s="14"/>
      <c r="E57" s="7" t="s">
        <v>6</v>
      </c>
      <c r="F57" s="7"/>
      <c r="G57" s="9" t="s">
        <v>7</v>
      </c>
      <c r="H57" s="3" t="s">
        <v>11</v>
      </c>
      <c r="I57" s="8" t="s">
        <v>12</v>
      </c>
      <c r="J57" s="145" t="s">
        <v>19</v>
      </c>
      <c r="K57" s="146"/>
    </row>
    <row r="58" spans="1:11" x14ac:dyDescent="0.25">
      <c r="A58" s="13"/>
      <c r="B58" s="19"/>
      <c r="C58" s="13"/>
      <c r="D58" s="20"/>
      <c r="E58" s="143"/>
      <c r="F58" s="137"/>
      <c r="G58" s="69"/>
      <c r="H58" s="70"/>
      <c r="I58" s="70"/>
      <c r="J58" s="184"/>
      <c r="K58" s="130"/>
    </row>
    <row r="59" spans="1:11" x14ac:dyDescent="0.25">
      <c r="A59" s="13"/>
      <c r="B59" s="13"/>
      <c r="C59" s="13"/>
      <c r="D59" s="20"/>
      <c r="E59" s="143"/>
      <c r="F59" s="141"/>
      <c r="G59" s="21" t="s">
        <v>18</v>
      </c>
      <c r="H59" s="69"/>
      <c r="I59" s="15" t="s">
        <v>18</v>
      </c>
      <c r="J59" s="185"/>
      <c r="K59" s="125"/>
    </row>
    <row r="60" spans="1:11" hidden="1" x14ac:dyDescent="0.25">
      <c r="A60" s="13"/>
      <c r="B60" s="13"/>
      <c r="C60" s="13"/>
      <c r="D60" s="20"/>
      <c r="E60" s="143"/>
      <c r="F60" s="143"/>
      <c r="G60" s="21" t="s">
        <v>18</v>
      </c>
      <c r="H60" s="21" t="s">
        <v>18</v>
      </c>
      <c r="I60" s="15" t="s">
        <v>18</v>
      </c>
      <c r="J60" s="149"/>
      <c r="K60" s="130"/>
    </row>
    <row r="61" spans="1:11" x14ac:dyDescent="0.25">
      <c r="A61" s="1" t="s">
        <v>15</v>
      </c>
      <c r="B61" s="13"/>
      <c r="C61" s="1" t="s">
        <v>13</v>
      </c>
      <c r="D61" s="20"/>
      <c r="E61" s="186" t="s">
        <v>15</v>
      </c>
      <c r="F61" s="130"/>
      <c r="G61" s="68"/>
      <c r="H61" s="21" t="s">
        <v>18</v>
      </c>
      <c r="I61" s="15" t="s">
        <v>18</v>
      </c>
      <c r="J61" s="182">
        <f>SUM(J58:K60)</f>
        <v>0</v>
      </c>
      <c r="K61" s="130"/>
    </row>
    <row r="62" spans="1:11" x14ac:dyDescent="0.25">
      <c r="A62" s="123"/>
      <c r="B62" s="124"/>
      <c r="C62" s="124"/>
      <c r="D62" s="124"/>
      <c r="E62" s="124"/>
      <c r="F62" s="124"/>
      <c r="G62" s="124"/>
      <c r="H62" s="124"/>
      <c r="I62" s="124"/>
      <c r="J62" s="124"/>
      <c r="K62" s="125"/>
    </row>
    <row r="63" spans="1:11" ht="0.75" customHeight="1" x14ac:dyDescent="0.25">
      <c r="A63" s="67"/>
      <c r="B63" s="11"/>
      <c r="C63" s="11"/>
      <c r="D63" s="11"/>
      <c r="H63" s="11"/>
      <c r="I63" s="11"/>
      <c r="J63" s="11"/>
      <c r="K63" s="11"/>
    </row>
    <row r="64" spans="1:11" x14ac:dyDescent="0.25">
      <c r="A64" s="94" t="s">
        <v>110</v>
      </c>
      <c r="B64" s="122"/>
      <c r="C64" s="122"/>
      <c r="D64" s="122"/>
      <c r="E64" s="122"/>
      <c r="F64" s="122"/>
      <c r="G64" s="122"/>
      <c r="H64" s="122"/>
      <c r="I64" s="122"/>
      <c r="J64" s="122"/>
      <c r="K64" s="122"/>
    </row>
    <row r="65" spans="2:11" x14ac:dyDescent="0.25">
      <c r="B65" s="122"/>
      <c r="C65" s="122"/>
      <c r="D65" s="122"/>
      <c r="E65" s="122"/>
      <c r="F65" s="122"/>
      <c r="G65" s="122"/>
      <c r="H65" s="122"/>
      <c r="I65" s="122"/>
      <c r="J65" s="122"/>
      <c r="K65" s="122"/>
    </row>
    <row r="66" spans="2:11" ht="39" customHeight="1" x14ac:dyDescent="0.25">
      <c r="B66" s="122"/>
      <c r="C66" s="122"/>
      <c r="D66" s="122"/>
      <c r="E66" s="122"/>
      <c r="F66" s="122"/>
      <c r="G66" s="122"/>
      <c r="H66" s="122"/>
      <c r="I66" s="122"/>
      <c r="J66" s="122"/>
      <c r="K66" s="122"/>
    </row>
  </sheetData>
  <mergeCells count="82">
    <mergeCell ref="J61:K61"/>
    <mergeCell ref="A37:K37"/>
    <mergeCell ref="A38:K38"/>
    <mergeCell ref="J58:K58"/>
    <mergeCell ref="J59:K59"/>
    <mergeCell ref="E51:G51"/>
    <mergeCell ref="E61:F61"/>
    <mergeCell ref="E45:G45"/>
    <mergeCell ref="E60:F60"/>
    <mergeCell ref="E59:F59"/>
    <mergeCell ref="I40:I41"/>
    <mergeCell ref="J40:J41"/>
    <mergeCell ref="K40:K41"/>
    <mergeCell ref="B40:B41"/>
    <mergeCell ref="A40:A41"/>
    <mergeCell ref="H53:J53"/>
    <mergeCell ref="A17:B17"/>
    <mergeCell ref="A12:K12"/>
    <mergeCell ref="J35:K35"/>
    <mergeCell ref="E36:I36"/>
    <mergeCell ref="C17:E17"/>
    <mergeCell ref="G17:H17"/>
    <mergeCell ref="I17:K17"/>
    <mergeCell ref="J27:K27"/>
    <mergeCell ref="E33:F33"/>
    <mergeCell ref="E34:F34"/>
    <mergeCell ref="E26:K26"/>
    <mergeCell ref="A26:C26"/>
    <mergeCell ref="C18:E18"/>
    <mergeCell ref="A23:K23"/>
    <mergeCell ref="A19:B19"/>
    <mergeCell ref="G18:H18"/>
    <mergeCell ref="C7:I7"/>
    <mergeCell ref="A8:K8"/>
    <mergeCell ref="A14:K14"/>
    <mergeCell ref="B13:G13"/>
    <mergeCell ref="H13:K13"/>
    <mergeCell ref="H3:I3"/>
    <mergeCell ref="J3:K3"/>
    <mergeCell ref="I18:K18"/>
    <mergeCell ref="A24:K24"/>
    <mergeCell ref="C5:G5"/>
    <mergeCell ref="B11:G11"/>
    <mergeCell ref="H11:K11"/>
    <mergeCell ref="A5:B5"/>
    <mergeCell ref="A4:E4"/>
    <mergeCell ref="A16:K16"/>
    <mergeCell ref="B21:G21"/>
    <mergeCell ref="I21:K21"/>
    <mergeCell ref="B22:G22"/>
    <mergeCell ref="I22:K22"/>
    <mergeCell ref="C19:E19"/>
    <mergeCell ref="H19:I19"/>
    <mergeCell ref="J60:K60"/>
    <mergeCell ref="J28:K28"/>
    <mergeCell ref="J29:K29"/>
    <mergeCell ref="J30:K30"/>
    <mergeCell ref="E32:F32"/>
    <mergeCell ref="J32:K32"/>
    <mergeCell ref="J36:K36"/>
    <mergeCell ref="E35:F35"/>
    <mergeCell ref="J34:K34"/>
    <mergeCell ref="A55:K55"/>
    <mergeCell ref="J33:K33"/>
    <mergeCell ref="H40:H41"/>
    <mergeCell ref="A39:C39"/>
    <mergeCell ref="B64:K66"/>
    <mergeCell ref="A62:K62"/>
    <mergeCell ref="A25:K25"/>
    <mergeCell ref="H39:K39"/>
    <mergeCell ref="A56:C56"/>
    <mergeCell ref="E56:K56"/>
    <mergeCell ref="J31:K31"/>
    <mergeCell ref="E27:F27"/>
    <mergeCell ref="E28:F28"/>
    <mergeCell ref="E29:F29"/>
    <mergeCell ref="E30:F30"/>
    <mergeCell ref="E31:F31"/>
    <mergeCell ref="E58:F58"/>
    <mergeCell ref="A54:K54"/>
    <mergeCell ref="J57:K57"/>
    <mergeCell ref="C40:C41"/>
  </mergeCells>
  <printOptions horizontalCentered="1" verticalCentered="1"/>
  <pageMargins left="0.25" right="0.25" top="0.25" bottom="0.75" header="0.3" footer="0.3"/>
  <pageSetup scale="75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F1B05-1BE2-419C-A743-706E19FCA078}">
  <sheetPr codeName="Sheet5">
    <pageSetUpPr fitToPage="1"/>
  </sheetPr>
  <dimension ref="A1:Y70"/>
  <sheetViews>
    <sheetView showGridLines="0" view="pageBreakPreview" topLeftCell="A16" zoomScaleNormal="130" zoomScaleSheetLayoutView="100" workbookViewId="0">
      <selection activeCell="O69" sqref="O69"/>
    </sheetView>
  </sheetViews>
  <sheetFormatPr defaultRowHeight="15" x14ac:dyDescent="0.25"/>
  <cols>
    <col min="1" max="1" width="9.140625" customWidth="1"/>
    <col min="2" max="2" width="11" customWidth="1"/>
    <col min="3" max="3" width="7.7109375" customWidth="1"/>
    <col min="4" max="4" width="14.5703125" customWidth="1"/>
    <col min="5" max="5" width="14.7109375" customWidth="1"/>
    <col min="6" max="6" width="2.28515625" hidden="1" customWidth="1"/>
    <col min="7" max="7" width="25.7109375" customWidth="1"/>
    <col min="8" max="8" width="15.7109375" customWidth="1"/>
    <col min="9" max="9" width="15" customWidth="1"/>
    <col min="10" max="10" width="13.140625" customWidth="1"/>
    <col min="11" max="12" width="20.7109375" customWidth="1"/>
  </cols>
  <sheetData>
    <row r="1" spans="1:11" x14ac:dyDescent="0.25">
      <c r="A1" s="213" t="s">
        <v>62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</row>
    <row r="2" spans="1:11" ht="15.75" thickBot="1" x14ac:dyDescent="0.3">
      <c r="A2" s="214" t="s">
        <v>61</v>
      </c>
      <c r="B2" s="214"/>
      <c r="C2" s="214"/>
      <c r="D2" s="214"/>
      <c r="E2" s="214"/>
      <c r="F2" s="214"/>
      <c r="G2" s="214"/>
      <c r="H2" s="214"/>
      <c r="I2" s="214"/>
      <c r="J2" s="214"/>
      <c r="K2" s="214"/>
    </row>
    <row r="3" spans="1:11" x14ac:dyDescent="0.25">
      <c r="A3" s="194" t="s">
        <v>63</v>
      </c>
      <c r="B3" s="195"/>
      <c r="C3" s="195"/>
      <c r="D3" s="196"/>
      <c r="E3" s="200" t="s">
        <v>107</v>
      </c>
      <c r="F3" s="116"/>
      <c r="G3" s="202" t="s">
        <v>64</v>
      </c>
      <c r="H3" s="203"/>
      <c r="I3" s="203"/>
      <c r="J3" s="204"/>
      <c r="K3" s="205" t="s">
        <v>19</v>
      </c>
    </row>
    <row r="4" spans="1:11" x14ac:dyDescent="0.25">
      <c r="A4" s="197"/>
      <c r="B4" s="198"/>
      <c r="C4" s="198"/>
      <c r="D4" s="199"/>
      <c r="E4" s="201"/>
      <c r="F4" s="31"/>
      <c r="G4" s="117" t="s">
        <v>65</v>
      </c>
      <c r="H4" s="117" t="s">
        <v>66</v>
      </c>
      <c r="I4" s="117" t="s">
        <v>67</v>
      </c>
      <c r="J4" s="117" t="s">
        <v>68</v>
      </c>
      <c r="K4" s="206"/>
    </row>
    <row r="5" spans="1:11" x14ac:dyDescent="0.25">
      <c r="A5" s="215"/>
      <c r="B5" s="216"/>
      <c r="C5" s="216"/>
      <c r="D5" s="217"/>
      <c r="E5" s="31"/>
      <c r="F5" s="31"/>
      <c r="G5" s="31"/>
      <c r="H5" s="31"/>
      <c r="I5" s="31"/>
      <c r="J5" s="31"/>
      <c r="K5" s="83" t="s">
        <v>13</v>
      </c>
    </row>
    <row r="6" spans="1:11" x14ac:dyDescent="0.25">
      <c r="A6" s="207"/>
      <c r="B6" s="208"/>
      <c r="C6" s="208"/>
      <c r="D6" s="209"/>
      <c r="E6" s="74"/>
      <c r="F6" s="74"/>
      <c r="G6" s="74"/>
      <c r="H6" s="74"/>
      <c r="I6" s="74"/>
      <c r="J6" s="74"/>
      <c r="K6" s="73"/>
    </row>
    <row r="7" spans="1:11" x14ac:dyDescent="0.25">
      <c r="A7" s="207"/>
      <c r="B7" s="208"/>
      <c r="C7" s="208"/>
      <c r="D7" s="209"/>
      <c r="E7" s="74"/>
      <c r="F7" s="74"/>
      <c r="G7" s="74"/>
      <c r="H7" s="74"/>
      <c r="I7" s="74"/>
      <c r="J7" s="74"/>
      <c r="K7" s="73"/>
    </row>
    <row r="8" spans="1:11" ht="15.75" thickBot="1" x14ac:dyDescent="0.3">
      <c r="A8" s="211" t="s">
        <v>69</v>
      </c>
      <c r="B8" s="211"/>
      <c r="C8" s="211"/>
      <c r="D8" s="211"/>
      <c r="E8" s="211"/>
      <c r="F8" s="211"/>
      <c r="G8" s="211"/>
      <c r="H8" s="211"/>
      <c r="I8" s="211"/>
      <c r="J8" s="211"/>
      <c r="K8" s="76" t="s">
        <v>13</v>
      </c>
    </row>
    <row r="9" spans="1:11" ht="15.75" thickBot="1" x14ac:dyDescent="0.3">
      <c r="A9" s="218" t="s">
        <v>70</v>
      </c>
      <c r="B9" s="218"/>
      <c r="C9" s="218"/>
      <c r="D9" s="218"/>
      <c r="E9" s="218"/>
      <c r="F9" s="218"/>
      <c r="G9" s="218"/>
      <c r="H9" s="218"/>
      <c r="I9" s="218"/>
      <c r="J9" s="218"/>
      <c r="K9" s="218"/>
    </row>
    <row r="10" spans="1:11" x14ac:dyDescent="0.25">
      <c r="A10" s="194" t="s">
        <v>63</v>
      </c>
      <c r="B10" s="195"/>
      <c r="C10" s="195"/>
      <c r="D10" s="196"/>
      <c r="E10" s="200" t="s">
        <v>107</v>
      </c>
      <c r="F10" s="116"/>
      <c r="G10" s="202" t="s">
        <v>64</v>
      </c>
      <c r="H10" s="203"/>
      <c r="I10" s="203"/>
      <c r="J10" s="204"/>
      <c r="K10" s="205" t="s">
        <v>19</v>
      </c>
    </row>
    <row r="11" spans="1:11" x14ac:dyDescent="0.25">
      <c r="A11" s="197"/>
      <c r="B11" s="198"/>
      <c r="C11" s="198"/>
      <c r="D11" s="199"/>
      <c r="E11" s="201"/>
      <c r="F11" s="31"/>
      <c r="G11" s="117" t="s">
        <v>65</v>
      </c>
      <c r="H11" s="117" t="s">
        <v>66</v>
      </c>
      <c r="I11" s="117" t="s">
        <v>67</v>
      </c>
      <c r="J11" s="117" t="s">
        <v>68</v>
      </c>
      <c r="K11" s="206"/>
    </row>
    <row r="12" spans="1:11" ht="12" customHeight="1" x14ac:dyDescent="0.25">
      <c r="A12" s="207"/>
      <c r="B12" s="208"/>
      <c r="C12" s="208"/>
      <c r="D12" s="209"/>
      <c r="E12" s="74"/>
      <c r="F12" s="74"/>
      <c r="G12" s="74"/>
      <c r="H12" s="74"/>
      <c r="I12" s="74"/>
      <c r="J12" s="74"/>
      <c r="K12" s="83" t="s">
        <v>13</v>
      </c>
    </row>
    <row r="13" spans="1:11" x14ac:dyDescent="0.25">
      <c r="A13" s="207"/>
      <c r="B13" s="208"/>
      <c r="C13" s="208"/>
      <c r="D13" s="209"/>
      <c r="E13" s="74"/>
      <c r="F13" s="74"/>
      <c r="G13" s="74"/>
      <c r="H13" s="74"/>
      <c r="I13" s="74"/>
      <c r="J13" s="74"/>
      <c r="K13" s="73"/>
    </row>
    <row r="14" spans="1:11" ht="12" customHeight="1" x14ac:dyDescent="0.25">
      <c r="A14" s="207"/>
      <c r="B14" s="208"/>
      <c r="C14" s="208"/>
      <c r="D14" s="209"/>
      <c r="E14" s="74"/>
      <c r="F14" s="74"/>
      <c r="G14" s="74"/>
      <c r="H14" s="74"/>
      <c r="I14" s="74"/>
      <c r="J14" s="74"/>
      <c r="K14" s="73"/>
    </row>
    <row r="15" spans="1:11" ht="15.75" thickBot="1" x14ac:dyDescent="0.3">
      <c r="A15" s="211" t="s">
        <v>69</v>
      </c>
      <c r="B15" s="211"/>
      <c r="C15" s="211"/>
      <c r="D15" s="211"/>
      <c r="E15" s="211"/>
      <c r="F15" s="211"/>
      <c r="G15" s="211"/>
      <c r="H15" s="211"/>
      <c r="I15" s="211"/>
      <c r="J15" s="211"/>
      <c r="K15" s="84" t="s">
        <v>13</v>
      </c>
    </row>
    <row r="16" spans="1:11" ht="15" customHeight="1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</row>
    <row r="17" spans="1:11" ht="15" customHeight="1" x14ac:dyDescent="0.25">
      <c r="A17" s="212" t="s">
        <v>71</v>
      </c>
      <c r="B17" s="212"/>
      <c r="C17" s="212"/>
      <c r="D17" s="212"/>
      <c r="E17" s="212"/>
      <c r="F17" s="212"/>
      <c r="G17" s="212"/>
      <c r="H17" s="212"/>
      <c r="I17" s="212"/>
      <c r="J17" s="212"/>
      <c r="K17" s="212"/>
    </row>
    <row r="18" spans="1:11" ht="15.75" thickBot="1" x14ac:dyDescent="0.3">
      <c r="A18" s="214" t="s">
        <v>61</v>
      </c>
      <c r="B18" s="214"/>
      <c r="C18" s="214"/>
      <c r="D18" s="214"/>
      <c r="E18" s="214"/>
      <c r="F18" s="214"/>
      <c r="G18" s="214"/>
      <c r="H18" s="214"/>
      <c r="I18" s="214"/>
      <c r="J18" s="214"/>
      <c r="K18" s="214"/>
    </row>
    <row r="19" spans="1:11" x14ac:dyDescent="0.25">
      <c r="A19" s="194" t="s">
        <v>63</v>
      </c>
      <c r="B19" s="195"/>
      <c r="C19" s="195"/>
      <c r="D19" s="196"/>
      <c r="E19" s="219" t="s">
        <v>72</v>
      </c>
      <c r="F19" s="195"/>
      <c r="G19" s="196"/>
      <c r="H19" s="200" t="s">
        <v>73</v>
      </c>
      <c r="I19" s="219" t="s">
        <v>74</v>
      </c>
      <c r="J19" s="196"/>
      <c r="K19" s="205" t="s">
        <v>19</v>
      </c>
    </row>
    <row r="20" spans="1:11" ht="15" customHeight="1" x14ac:dyDescent="0.25">
      <c r="A20" s="197"/>
      <c r="B20" s="198"/>
      <c r="C20" s="198"/>
      <c r="D20" s="199"/>
      <c r="E20" s="220"/>
      <c r="F20" s="198"/>
      <c r="G20" s="199"/>
      <c r="H20" s="201"/>
      <c r="I20" s="220"/>
      <c r="J20" s="199"/>
      <c r="K20" s="206"/>
    </row>
    <row r="21" spans="1:11" ht="15.6" customHeight="1" x14ac:dyDescent="0.25">
      <c r="A21" s="207"/>
      <c r="B21" s="208"/>
      <c r="C21" s="208"/>
      <c r="D21" s="209"/>
      <c r="E21" s="180"/>
      <c r="F21" s="210"/>
      <c r="G21" s="142"/>
      <c r="H21" s="31"/>
      <c r="I21" s="180"/>
      <c r="J21" s="142"/>
      <c r="K21" s="83" t="s">
        <v>13</v>
      </c>
    </row>
    <row r="22" spans="1:11" ht="16.5" customHeight="1" x14ac:dyDescent="0.25">
      <c r="A22" s="207"/>
      <c r="B22" s="208"/>
      <c r="C22" s="208"/>
      <c r="D22" s="209"/>
      <c r="E22" s="180"/>
      <c r="F22" s="210"/>
      <c r="G22" s="142"/>
      <c r="H22" s="31"/>
      <c r="I22" s="180"/>
      <c r="J22" s="142"/>
      <c r="K22" s="73"/>
    </row>
    <row r="23" spans="1:11" ht="13.5" customHeight="1" x14ac:dyDescent="0.25">
      <c r="A23" s="207"/>
      <c r="B23" s="208"/>
      <c r="C23" s="208"/>
      <c r="D23" s="209"/>
      <c r="E23" s="221"/>
      <c r="F23" s="193"/>
      <c r="G23" s="222"/>
      <c r="H23" s="24"/>
      <c r="I23" s="221"/>
      <c r="J23" s="222"/>
      <c r="K23" s="73"/>
    </row>
    <row r="24" spans="1:11" ht="15.75" thickBot="1" x14ac:dyDescent="0.3">
      <c r="A24" s="211" t="s">
        <v>69</v>
      </c>
      <c r="B24" s="211"/>
      <c r="C24" s="211"/>
      <c r="D24" s="211"/>
      <c r="E24" s="211"/>
      <c r="F24" s="211"/>
      <c r="G24" s="211"/>
      <c r="H24" s="211"/>
      <c r="I24" s="211"/>
      <c r="J24" s="211"/>
      <c r="K24" s="84" t="s">
        <v>13</v>
      </c>
    </row>
    <row r="25" spans="1:11" ht="15.75" thickBot="1" x14ac:dyDescent="0.3">
      <c r="A25" s="214" t="s">
        <v>75</v>
      </c>
      <c r="B25" s="214"/>
      <c r="C25" s="214"/>
      <c r="D25" s="214"/>
      <c r="E25" s="214"/>
      <c r="F25" s="214"/>
      <c r="G25" s="214"/>
      <c r="H25" s="214"/>
      <c r="I25" s="214"/>
      <c r="J25" s="214"/>
      <c r="K25" s="223"/>
    </row>
    <row r="26" spans="1:11" x14ac:dyDescent="0.25">
      <c r="A26" s="194" t="s">
        <v>63</v>
      </c>
      <c r="B26" s="195"/>
      <c r="C26" s="195"/>
      <c r="D26" s="196"/>
      <c r="E26" s="219" t="s">
        <v>72</v>
      </c>
      <c r="F26" s="195"/>
      <c r="G26" s="196"/>
      <c r="H26" s="200" t="s">
        <v>73</v>
      </c>
      <c r="I26" s="219" t="s">
        <v>74</v>
      </c>
      <c r="J26" s="196"/>
      <c r="K26" s="205" t="s">
        <v>19</v>
      </c>
    </row>
    <row r="27" spans="1:11" x14ac:dyDescent="0.25">
      <c r="A27" s="197"/>
      <c r="B27" s="198"/>
      <c r="C27" s="198"/>
      <c r="D27" s="199"/>
      <c r="E27" s="220"/>
      <c r="F27" s="198"/>
      <c r="G27" s="199"/>
      <c r="H27" s="201"/>
      <c r="I27" s="220"/>
      <c r="J27" s="199"/>
      <c r="K27" s="206"/>
    </row>
    <row r="28" spans="1:11" x14ac:dyDescent="0.25">
      <c r="A28" s="207"/>
      <c r="B28" s="208"/>
      <c r="C28" s="208"/>
      <c r="D28" s="209"/>
      <c r="E28" s="180"/>
      <c r="F28" s="210"/>
      <c r="G28" s="142"/>
      <c r="H28" s="61"/>
      <c r="I28" s="180"/>
      <c r="J28" s="142"/>
      <c r="K28" s="83" t="s">
        <v>13</v>
      </c>
    </row>
    <row r="29" spans="1:11" x14ac:dyDescent="0.25">
      <c r="A29" s="207"/>
      <c r="B29" s="208"/>
      <c r="C29" s="208"/>
      <c r="D29" s="209"/>
      <c r="E29" s="180"/>
      <c r="F29" s="210"/>
      <c r="G29" s="142"/>
      <c r="H29" s="76"/>
      <c r="I29" s="180"/>
      <c r="J29" s="142"/>
      <c r="K29" s="73"/>
    </row>
    <row r="30" spans="1:11" x14ac:dyDescent="0.25">
      <c r="A30" s="207"/>
      <c r="B30" s="208"/>
      <c r="C30" s="208"/>
      <c r="D30" s="209"/>
      <c r="E30" s="180"/>
      <c r="F30" s="210"/>
      <c r="G30" s="142"/>
      <c r="H30" s="75"/>
      <c r="I30" s="180"/>
      <c r="J30" s="142"/>
      <c r="K30" s="73"/>
    </row>
    <row r="31" spans="1:11" ht="15.75" thickBot="1" x14ac:dyDescent="0.3">
      <c r="A31" s="225" t="s">
        <v>69</v>
      </c>
      <c r="B31" s="225"/>
      <c r="C31" s="225"/>
      <c r="D31" s="225"/>
      <c r="E31" s="225"/>
      <c r="F31" s="225"/>
      <c r="G31" s="225"/>
      <c r="H31" s="225"/>
      <c r="I31" s="225"/>
      <c r="J31" s="226"/>
      <c r="K31" s="84" t="s">
        <v>13</v>
      </c>
    </row>
    <row r="32" spans="1:11" x14ac:dyDescent="0.25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</row>
    <row r="33" spans="1:12" ht="15.6" customHeight="1" x14ac:dyDescent="0.25">
      <c r="A33" s="227" t="s">
        <v>76</v>
      </c>
      <c r="B33" s="228"/>
      <c r="C33" s="228"/>
      <c r="D33" s="228"/>
      <c r="E33" s="228"/>
      <c r="F33" s="228"/>
      <c r="G33" s="228"/>
      <c r="H33" s="228"/>
      <c r="I33" s="228"/>
      <c r="J33" s="228"/>
      <c r="K33" s="228"/>
    </row>
    <row r="34" spans="1:12" ht="14.45" customHeight="1" x14ac:dyDescent="0.25">
      <c r="A34" s="224" t="s">
        <v>106</v>
      </c>
      <c r="B34" s="224"/>
      <c r="C34" s="224"/>
      <c r="D34" s="224"/>
      <c r="E34" s="224"/>
      <c r="F34" s="224"/>
      <c r="G34" s="224"/>
      <c r="H34" s="224"/>
      <c r="I34" s="224"/>
      <c r="J34" s="224"/>
      <c r="K34" s="224"/>
    </row>
    <row r="35" spans="1:12" ht="15.75" customHeight="1" x14ac:dyDescent="0.25">
      <c r="A35" s="224" t="s">
        <v>105</v>
      </c>
      <c r="B35" s="224"/>
      <c r="C35" s="224"/>
      <c r="D35" s="224"/>
      <c r="E35" s="224"/>
      <c r="F35" s="224"/>
      <c r="G35" s="224"/>
      <c r="H35" s="224"/>
      <c r="I35" s="224"/>
      <c r="J35" s="224"/>
      <c r="K35" s="230"/>
    </row>
    <row r="36" spans="1:12" ht="15.75" customHeight="1" x14ac:dyDescent="0.25">
      <c r="A36" s="24"/>
      <c r="B36" s="24"/>
      <c r="C36" s="80" t="s">
        <v>77</v>
      </c>
      <c r="D36" s="231"/>
      <c r="E36" s="231"/>
      <c r="F36" s="231"/>
      <c r="G36" s="231"/>
      <c r="H36" s="231"/>
      <c r="I36" s="86"/>
      <c r="J36" s="235"/>
      <c r="K36" s="235"/>
    </row>
    <row r="37" spans="1:12" x14ac:dyDescent="0.25">
      <c r="A37" s="24"/>
      <c r="B37" s="24"/>
      <c r="C37" s="78" t="s">
        <v>78</v>
      </c>
      <c r="D37" s="24"/>
      <c r="E37" s="210"/>
      <c r="F37" s="210"/>
      <c r="G37" s="210"/>
      <c r="H37" s="210"/>
      <c r="I37" s="77"/>
      <c r="J37" s="236"/>
      <c r="K37" s="236"/>
    </row>
    <row r="38" spans="1:12" x14ac:dyDescent="0.25">
      <c r="A38" s="24"/>
      <c r="B38" s="24"/>
      <c r="C38" s="232" t="s">
        <v>79</v>
      </c>
      <c r="D38" s="232"/>
      <c r="E38" s="232"/>
      <c r="F38" s="24"/>
      <c r="G38" s="210"/>
      <c r="H38" s="210"/>
      <c r="I38" s="86"/>
      <c r="J38" s="236" t="str">
        <f>IF(SUM(J36:K37)=0, "", MROUND(SUM(J36:K37), 10))</f>
        <v/>
      </c>
      <c r="K38" s="236"/>
    </row>
    <row r="39" spans="1:12" x14ac:dyDescent="0.25">
      <c r="A39" s="24"/>
      <c r="B39" s="24"/>
      <c r="C39" s="24"/>
      <c r="D39" s="24"/>
      <c r="E39" s="24"/>
      <c r="F39" s="24"/>
      <c r="G39" s="24"/>
      <c r="H39" s="24"/>
      <c r="I39" s="75"/>
      <c r="J39" s="75"/>
      <c r="K39" s="24"/>
    </row>
    <row r="40" spans="1:12" x14ac:dyDescent="0.25">
      <c r="A40" s="24"/>
      <c r="B40" s="24"/>
      <c r="C40" s="24"/>
      <c r="D40" s="24"/>
      <c r="E40" s="24"/>
      <c r="F40" s="24"/>
      <c r="G40" s="24"/>
      <c r="H40" s="24"/>
      <c r="I40" s="233" t="s">
        <v>80</v>
      </c>
      <c r="J40" s="234"/>
      <c r="K40" s="24"/>
    </row>
    <row r="41" spans="1:12" ht="15.6" customHeight="1" x14ac:dyDescent="0.25">
      <c r="A41" s="24"/>
      <c r="B41" s="24"/>
      <c r="C41" s="24"/>
      <c r="D41" s="24"/>
      <c r="E41" s="24"/>
      <c r="F41" s="24"/>
      <c r="G41" s="79" t="s">
        <v>81</v>
      </c>
      <c r="H41" s="193"/>
      <c r="I41" s="193"/>
      <c r="J41" s="193"/>
      <c r="K41" s="24"/>
    </row>
    <row r="42" spans="1:12" ht="15" customHeight="1" x14ac:dyDescent="0.25">
      <c r="A42" s="237" t="s">
        <v>83</v>
      </c>
      <c r="B42" s="237"/>
      <c r="C42" s="237"/>
      <c r="D42" s="237"/>
      <c r="E42" s="237"/>
      <c r="F42" s="237"/>
      <c r="G42" s="237"/>
      <c r="H42" s="237"/>
      <c r="I42" s="237"/>
      <c r="J42" s="237"/>
      <c r="K42" s="237"/>
      <c r="L42" s="24"/>
    </row>
    <row r="43" spans="1:12" ht="15.6" customHeight="1" x14ac:dyDescent="0.25">
      <c r="A43" s="174" t="s">
        <v>82</v>
      </c>
      <c r="B43" s="174"/>
      <c r="C43" s="174"/>
      <c r="D43" s="174"/>
      <c r="E43" s="174"/>
      <c r="F43" s="174"/>
      <c r="G43" s="174"/>
      <c r="H43" s="174"/>
      <c r="I43" s="174"/>
      <c r="J43" s="174"/>
      <c r="K43" s="174"/>
    </row>
    <row r="44" spans="1:12" x14ac:dyDescent="0.25">
      <c r="A44" s="174" t="s">
        <v>84</v>
      </c>
      <c r="B44" s="174"/>
      <c r="C44" s="174"/>
      <c r="D44" s="174"/>
      <c r="E44" s="174"/>
      <c r="F44" s="174"/>
      <c r="G44" s="174"/>
      <c r="H44" s="174"/>
      <c r="I44" s="174"/>
      <c r="J44" s="174"/>
      <c r="K44" s="174"/>
    </row>
    <row r="45" spans="1:12" x14ac:dyDescent="0.25">
      <c r="A45" s="24"/>
      <c r="B45" s="24"/>
      <c r="C45" s="24"/>
      <c r="D45" s="24"/>
      <c r="E45" s="24"/>
      <c r="F45" s="24"/>
      <c r="G45" s="24"/>
      <c r="H45" s="24"/>
      <c r="I45" s="238" t="s">
        <v>86</v>
      </c>
      <c r="J45" s="238"/>
      <c r="K45" s="24"/>
    </row>
    <row r="46" spans="1:12" x14ac:dyDescent="0.25">
      <c r="A46" s="24"/>
      <c r="B46" s="24"/>
      <c r="C46" s="24"/>
      <c r="D46" s="24"/>
      <c r="E46" s="24"/>
      <c r="F46" s="24"/>
      <c r="G46" s="24"/>
      <c r="H46" s="229" t="s">
        <v>85</v>
      </c>
      <c r="I46" s="229"/>
      <c r="J46" s="229"/>
      <c r="K46" s="229"/>
    </row>
    <row r="47" spans="1:12" ht="15" customHeight="1" x14ac:dyDescent="0.25">
      <c r="A47" s="240" t="s">
        <v>87</v>
      </c>
      <c r="B47" s="240"/>
      <c r="C47" s="240"/>
      <c r="D47" s="240"/>
      <c r="E47" s="240"/>
      <c r="F47" s="24"/>
      <c r="G47" s="24"/>
      <c r="H47" s="28"/>
      <c r="I47" s="72"/>
      <c r="J47" s="72"/>
      <c r="K47" s="24"/>
    </row>
    <row r="48" spans="1:12" ht="15" customHeight="1" x14ac:dyDescent="0.25">
      <c r="A48" s="240" t="s">
        <v>89</v>
      </c>
      <c r="B48" s="240"/>
      <c r="C48" s="240"/>
      <c r="D48" s="240"/>
      <c r="E48" s="240"/>
      <c r="F48" s="24" t="s">
        <v>88</v>
      </c>
      <c r="G48" s="24"/>
      <c r="H48" s="24"/>
      <c r="I48" s="234" t="s">
        <v>90</v>
      </c>
      <c r="J48" s="234"/>
      <c r="K48" s="24"/>
    </row>
    <row r="49" spans="1:25" x14ac:dyDescent="0.25">
      <c r="A49" s="24"/>
      <c r="B49" s="24"/>
      <c r="C49" s="24"/>
      <c r="D49" s="24"/>
      <c r="E49" s="24"/>
      <c r="F49" s="24"/>
      <c r="G49" s="79" t="s">
        <v>81</v>
      </c>
      <c r="H49" s="238"/>
      <c r="I49" s="238"/>
      <c r="J49" s="238"/>
      <c r="K49" s="24"/>
    </row>
    <row r="50" spans="1:25" x14ac:dyDescent="0.25">
      <c r="A50" s="174" t="s">
        <v>91</v>
      </c>
      <c r="B50" s="174"/>
      <c r="C50" s="174"/>
      <c r="D50" s="174"/>
      <c r="E50" s="174"/>
      <c r="F50" s="174"/>
      <c r="G50" s="174"/>
      <c r="H50" s="174"/>
      <c r="I50" s="174"/>
      <c r="J50" s="174"/>
      <c r="K50" s="174"/>
    </row>
    <row r="51" spans="1:25" x14ac:dyDescent="0.25">
      <c r="A51" s="174" t="s">
        <v>92</v>
      </c>
      <c r="B51" s="174"/>
      <c r="C51" s="174"/>
      <c r="D51" s="174"/>
      <c r="E51" s="174"/>
      <c r="F51" s="174"/>
      <c r="G51" s="174"/>
      <c r="H51" s="174"/>
      <c r="I51" s="174"/>
      <c r="J51" s="174"/>
      <c r="K51" s="174"/>
    </row>
    <row r="52" spans="1:25" x14ac:dyDescent="0.25">
      <c r="A52" s="238" t="s">
        <v>93</v>
      </c>
      <c r="B52" s="238"/>
      <c r="C52" s="238"/>
      <c r="D52" s="238"/>
      <c r="E52" s="238"/>
      <c r="F52" s="238"/>
      <c r="G52" s="238"/>
      <c r="H52" s="238"/>
      <c r="I52" s="238"/>
      <c r="J52" s="238"/>
      <c r="K52" s="238"/>
    </row>
    <row r="53" spans="1:25" x14ac:dyDescent="0.25">
      <c r="A53" s="198" t="s">
        <v>95</v>
      </c>
      <c r="B53" s="198"/>
      <c r="C53" s="27"/>
      <c r="D53" s="27" t="s">
        <v>94</v>
      </c>
      <c r="E53" s="24"/>
      <c r="F53" s="24"/>
      <c r="G53" s="27" t="s">
        <v>19</v>
      </c>
      <c r="H53" s="27"/>
      <c r="I53" s="75" t="s">
        <v>96</v>
      </c>
      <c r="J53" s="24"/>
      <c r="K53" s="82" t="s">
        <v>97</v>
      </c>
      <c r="M53" s="239"/>
      <c r="N53" s="239"/>
      <c r="O53" s="24"/>
      <c r="P53" s="24"/>
      <c r="Q53" s="24"/>
      <c r="R53" s="239"/>
      <c r="S53" s="239"/>
      <c r="T53" s="24"/>
      <c r="U53" s="24"/>
      <c r="V53" s="24"/>
      <c r="W53" s="24"/>
      <c r="X53" s="24"/>
      <c r="Y53" s="81"/>
    </row>
    <row r="54" spans="1:25" x14ac:dyDescent="0.25">
      <c r="A54" s="178"/>
      <c r="B54" s="178"/>
      <c r="C54" s="24"/>
      <c r="D54" s="97"/>
      <c r="E54" s="28"/>
      <c r="F54" s="24" t="s">
        <v>13</v>
      </c>
      <c r="G54" s="102"/>
      <c r="H54" s="27"/>
      <c r="I54" s="104"/>
      <c r="J54" s="24"/>
      <c r="K54" s="102"/>
    </row>
    <row r="55" spans="1:25" x14ac:dyDescent="0.25">
      <c r="A55" s="241"/>
      <c r="B55" s="241"/>
      <c r="C55" s="24"/>
      <c r="D55" s="101"/>
      <c r="E55" s="28"/>
      <c r="F55" s="24"/>
      <c r="G55" s="102"/>
      <c r="H55" s="27"/>
      <c r="I55" s="103"/>
      <c r="J55" s="24"/>
      <c r="K55" s="102"/>
    </row>
    <row r="56" spans="1:25" x14ac:dyDescent="0.25">
      <c r="A56" s="241"/>
      <c r="B56" s="241"/>
      <c r="C56" s="24"/>
      <c r="D56" s="85"/>
      <c r="E56" s="28"/>
      <c r="F56" s="24"/>
      <c r="G56" s="102"/>
      <c r="H56" s="27"/>
      <c r="I56" s="104"/>
      <c r="J56" s="24"/>
      <c r="K56" s="102"/>
    </row>
    <row r="57" spans="1:25" x14ac:dyDescent="0.25">
      <c r="A57" s="241"/>
      <c r="B57" s="241"/>
      <c r="C57" s="24"/>
      <c r="D57" s="85"/>
      <c r="E57" s="28"/>
      <c r="F57" s="24"/>
      <c r="G57" s="102"/>
      <c r="H57" s="27"/>
      <c r="I57" s="103"/>
      <c r="J57" s="24"/>
      <c r="K57" s="102"/>
    </row>
    <row r="58" spans="1:25" x14ac:dyDescent="0.25">
      <c r="E58" s="111" t="s">
        <v>15</v>
      </c>
      <c r="G58" s="105" t="str">
        <f>IF(SUM(G54:G57)=0, "", MROUND(SUM(G54:G57), 10))</f>
        <v/>
      </c>
      <c r="H58" s="174"/>
      <c r="I58" s="174"/>
      <c r="J58" s="112" t="s">
        <v>15</v>
      </c>
      <c r="K58" s="105" t="str">
        <f>IF(SUM(K54:K57)=0, "", MROUND(SUM(K54:K57), 10))</f>
        <v/>
      </c>
    </row>
    <row r="59" spans="1:25" ht="15.75" thickBot="1" x14ac:dyDescent="0.3">
      <c r="A59" s="242" t="s">
        <v>98</v>
      </c>
      <c r="B59" s="242"/>
      <c r="C59" s="242"/>
      <c r="D59" s="225"/>
      <c r="E59" s="225"/>
      <c r="F59" s="225"/>
      <c r="G59" s="225"/>
      <c r="H59" s="225"/>
      <c r="I59" s="225"/>
      <c r="J59" s="225"/>
      <c r="K59" s="225"/>
    </row>
    <row r="60" spans="1:25" x14ac:dyDescent="0.25">
      <c r="A60" s="158" t="s">
        <v>100</v>
      </c>
      <c r="B60" s="158"/>
      <c r="C60" s="158"/>
      <c r="H60" s="160" t="s">
        <v>99</v>
      </c>
      <c r="I60" s="243"/>
    </row>
    <row r="61" spans="1:25" ht="15.75" thickBot="1" x14ac:dyDescent="0.3">
      <c r="A61" s="244"/>
      <c r="B61" s="244"/>
      <c r="C61" s="244"/>
      <c r="D61" s="24"/>
      <c r="E61" s="24"/>
      <c r="F61" s="24"/>
      <c r="G61" s="24"/>
      <c r="H61" s="24"/>
      <c r="I61" s="244"/>
      <c r="J61" s="244"/>
      <c r="K61" s="24"/>
    </row>
    <row r="62" spans="1:25" x14ac:dyDescent="0.25">
      <c r="A62" s="245" t="s">
        <v>101</v>
      </c>
      <c r="B62" s="246"/>
      <c r="C62" s="246"/>
      <c r="D62" s="24"/>
      <c r="E62" s="24"/>
      <c r="F62" s="24"/>
      <c r="G62" s="24"/>
      <c r="H62" s="24"/>
      <c r="I62" s="245" t="s">
        <v>101</v>
      </c>
      <c r="J62" s="246"/>
      <c r="K62" s="24"/>
    </row>
    <row r="63" spans="1:25" ht="15.75" thickBot="1" x14ac:dyDescent="0.3">
      <c r="A63" s="24"/>
      <c r="B63" s="24"/>
      <c r="C63" s="24"/>
      <c r="D63" s="24"/>
      <c r="E63" s="24"/>
      <c r="F63" s="24"/>
      <c r="G63" s="24"/>
      <c r="H63" s="113" t="s">
        <v>102</v>
      </c>
      <c r="I63" s="225"/>
      <c r="J63" s="225"/>
      <c r="K63" s="24"/>
    </row>
    <row r="64" spans="1:25" x14ac:dyDescent="0.25">
      <c r="A64" s="24"/>
      <c r="B64" s="24"/>
      <c r="C64" s="24"/>
      <c r="D64" s="24"/>
      <c r="E64" s="24"/>
      <c r="F64" s="24"/>
      <c r="G64" s="24"/>
      <c r="H64" s="24"/>
      <c r="I64" s="245" t="s">
        <v>103</v>
      </c>
      <c r="J64" s="245"/>
      <c r="K64" s="24"/>
    </row>
    <row r="65" spans="1:11" ht="15.75" thickBot="1" x14ac:dyDescent="0.3">
      <c r="A65" s="24"/>
      <c r="B65" s="24"/>
      <c r="C65" s="24"/>
      <c r="D65" s="24"/>
      <c r="E65" s="24"/>
      <c r="F65" s="24"/>
      <c r="G65" s="24"/>
      <c r="H65" s="113" t="s">
        <v>104</v>
      </c>
      <c r="I65" s="247"/>
      <c r="J65" s="247"/>
      <c r="K65" s="24"/>
    </row>
    <row r="66" spans="1:11" x14ac:dyDescent="0.2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</row>
    <row r="67" spans="1:11" x14ac:dyDescent="0.25">
      <c r="A67" s="114" t="s">
        <v>111</v>
      </c>
      <c r="B67" s="24"/>
      <c r="C67" s="24"/>
      <c r="D67" s="75"/>
      <c r="E67" s="192"/>
      <c r="F67" s="192"/>
      <c r="G67" s="192"/>
      <c r="H67" s="75"/>
      <c r="I67" s="75"/>
      <c r="J67" s="114" t="s">
        <v>112</v>
      </c>
      <c r="K67" s="24"/>
    </row>
    <row r="68" spans="1:11" x14ac:dyDescent="0.25">
      <c r="A68" s="114" t="s">
        <v>114</v>
      </c>
      <c r="B68" s="193"/>
      <c r="C68" s="193"/>
      <c r="D68" s="193"/>
      <c r="E68" s="193"/>
      <c r="F68" s="193"/>
      <c r="G68" s="193"/>
      <c r="H68" s="114" t="s">
        <v>113</v>
      </c>
      <c r="I68" s="114"/>
      <c r="J68" s="114"/>
      <c r="K68" s="114"/>
    </row>
    <row r="69" spans="1:11" x14ac:dyDescent="0.25">
      <c r="A69" s="120" t="s">
        <v>115</v>
      </c>
      <c r="B69" s="118"/>
      <c r="C69" s="119" t="s">
        <v>116</v>
      </c>
      <c r="D69" s="118"/>
      <c r="E69" s="192"/>
      <c r="F69" s="192"/>
      <c r="G69" s="192"/>
      <c r="H69" s="192"/>
      <c r="I69" s="24"/>
      <c r="J69" s="24"/>
      <c r="K69" s="24"/>
    </row>
    <row r="70" spans="1:11" x14ac:dyDescent="0.25">
      <c r="A70" s="114" t="s">
        <v>118</v>
      </c>
      <c r="B70" s="114"/>
      <c r="C70" s="114"/>
      <c r="D70" s="114"/>
      <c r="E70" s="121"/>
      <c r="G70" s="114" t="s">
        <v>119</v>
      </c>
      <c r="H70" s="121"/>
      <c r="I70" s="115" t="s">
        <v>117</v>
      </c>
      <c r="J70" s="191"/>
      <c r="K70" s="191"/>
    </row>
  </sheetData>
  <mergeCells count="99">
    <mergeCell ref="A62:C62"/>
    <mergeCell ref="I62:J62"/>
    <mergeCell ref="I63:J63"/>
    <mergeCell ref="I64:J64"/>
    <mergeCell ref="I65:J65"/>
    <mergeCell ref="H58:I58"/>
    <mergeCell ref="A59:C59"/>
    <mergeCell ref="D59:K59"/>
    <mergeCell ref="H60:I60"/>
    <mergeCell ref="A61:C61"/>
    <mergeCell ref="I61:J61"/>
    <mergeCell ref="A60:C60"/>
    <mergeCell ref="A55:B55"/>
    <mergeCell ref="A56:B56"/>
    <mergeCell ref="A57:B57"/>
    <mergeCell ref="A52:K52"/>
    <mergeCell ref="A53:B53"/>
    <mergeCell ref="M53:N53"/>
    <mergeCell ref="R53:S53"/>
    <mergeCell ref="A54:B54"/>
    <mergeCell ref="A47:E47"/>
    <mergeCell ref="A48:E48"/>
    <mergeCell ref="I48:J48"/>
    <mergeCell ref="H49:J49"/>
    <mergeCell ref="A50:K50"/>
    <mergeCell ref="A51:K51"/>
    <mergeCell ref="H46:K46"/>
    <mergeCell ref="A35:K35"/>
    <mergeCell ref="D36:H36"/>
    <mergeCell ref="E37:H37"/>
    <mergeCell ref="C38:E38"/>
    <mergeCell ref="G38:H38"/>
    <mergeCell ref="I40:J40"/>
    <mergeCell ref="J36:K36"/>
    <mergeCell ref="J37:K37"/>
    <mergeCell ref="J38:K38"/>
    <mergeCell ref="H41:J41"/>
    <mergeCell ref="A42:K42"/>
    <mergeCell ref="A43:K43"/>
    <mergeCell ref="A44:K44"/>
    <mergeCell ref="I45:J45"/>
    <mergeCell ref="A34:K34"/>
    <mergeCell ref="A28:D28"/>
    <mergeCell ref="E28:G28"/>
    <mergeCell ref="I28:J28"/>
    <mergeCell ref="A29:D29"/>
    <mergeCell ref="E29:G29"/>
    <mergeCell ref="I29:J29"/>
    <mergeCell ref="A30:D30"/>
    <mergeCell ref="E30:G30"/>
    <mergeCell ref="I30:J30"/>
    <mergeCell ref="A31:J31"/>
    <mergeCell ref="A33:K33"/>
    <mergeCell ref="A24:J24"/>
    <mergeCell ref="A25:K25"/>
    <mergeCell ref="A26:D27"/>
    <mergeCell ref="E26:G27"/>
    <mergeCell ref="H26:H27"/>
    <mergeCell ref="I26:J27"/>
    <mergeCell ref="K26:K27"/>
    <mergeCell ref="A22:D22"/>
    <mergeCell ref="E22:G22"/>
    <mergeCell ref="I22:J22"/>
    <mergeCell ref="A23:D23"/>
    <mergeCell ref="E23:G23"/>
    <mergeCell ref="I23:J23"/>
    <mergeCell ref="A18:K18"/>
    <mergeCell ref="A19:D20"/>
    <mergeCell ref="E19:G20"/>
    <mergeCell ref="H19:H20"/>
    <mergeCell ref="I19:J20"/>
    <mergeCell ref="K19:K20"/>
    <mergeCell ref="A5:D5"/>
    <mergeCell ref="A6:D6"/>
    <mergeCell ref="A7:D7"/>
    <mergeCell ref="A8:J8"/>
    <mergeCell ref="A9:K9"/>
    <mergeCell ref="A1:K1"/>
    <mergeCell ref="A2:K2"/>
    <mergeCell ref="A3:D4"/>
    <mergeCell ref="E3:E4"/>
    <mergeCell ref="G3:J3"/>
    <mergeCell ref="K3:K4"/>
    <mergeCell ref="J70:K70"/>
    <mergeCell ref="E69:H69"/>
    <mergeCell ref="E67:G67"/>
    <mergeCell ref="B68:G68"/>
    <mergeCell ref="A10:D11"/>
    <mergeCell ref="E10:E11"/>
    <mergeCell ref="G10:J10"/>
    <mergeCell ref="K10:K11"/>
    <mergeCell ref="A21:D21"/>
    <mergeCell ref="E21:G21"/>
    <mergeCell ref="I21:J21"/>
    <mergeCell ref="A12:D12"/>
    <mergeCell ref="A13:D13"/>
    <mergeCell ref="A14:D14"/>
    <mergeCell ref="A15:J15"/>
    <mergeCell ref="A17:K17"/>
  </mergeCells>
  <printOptions horizontalCentered="1" verticalCentered="1"/>
  <pageMargins left="0.25" right="0.25" top="0.75" bottom="0.75" header="0.3" footer="0.3"/>
  <pageSetup scale="65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Sheet2</vt:lpstr>
      <vt:lpstr>Sheet1!Print_Area</vt:lpstr>
      <vt:lpstr>Sheet2!Print_Area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cp:lastPrinted>2026-02-23T06:27:14Z</cp:lastPrinted>
  <dcterms:created xsi:type="dcterms:W3CDTF">2026-01-16T03:13:35Z</dcterms:created>
  <dcterms:modified xsi:type="dcterms:W3CDTF">2026-03-17T01:39:44Z</dcterms:modified>
</cp:coreProperties>
</file>