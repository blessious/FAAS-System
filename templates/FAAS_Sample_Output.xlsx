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dmin\Desktop\FAAS-2026\"/>
    </mc:Choice>
  </mc:AlternateContent>
  <xr:revisionPtr revIDLastSave="0" documentId="13_ncr:1_{01BAB2FD-FA1D-4127-A030-67ECC9B06365}" xr6:coauthVersionLast="47" xr6:coauthVersionMax="47" xr10:uidLastSave="{00000000-0000-0000-0000-000000000000}"/>
  <bookViews>
    <workbookView xWindow="14850" yWindow="645" windowWidth="13830" windowHeight="14835" xr2:uid="{244C88A5-F8E5-419E-8631-7D0D3F5AAB12}"/>
  </bookViews>
  <sheets>
    <sheet name="FAAS"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 i="3" l="1"/>
  <c r="G25" i="3" s="1"/>
  <c r="B35" i="3" s="1"/>
  <c r="H35" i="3" s="1"/>
  <c r="H64" i="3"/>
  <c r="G28" i="3"/>
  <c r="G32" i="3" s="1"/>
  <c r="B36" i="3" s="1"/>
  <c r="H36" i="3" s="1"/>
  <c r="D42" i="3" s="1"/>
  <c r="H42" i="3" s="1"/>
  <c r="D41" i="3" l="1"/>
  <c r="H38" i="3"/>
  <c r="D44" i="3" l="1"/>
  <c r="H41" i="3"/>
  <c r="H44" i="3" s="1"/>
</calcChain>
</file>

<file path=xl/sharedStrings.xml><?xml version="1.0" encoding="utf-8"?>
<sst xmlns="http://schemas.openxmlformats.org/spreadsheetml/2006/main" count="86" uniqueCount="76">
  <si>
    <t>REAL PROPERTY FIELD APPRAISAL AND ASSESSMENT SHEET - LAND PLANTS &amp; TREES</t>
  </si>
  <si>
    <t>ARF No.</t>
  </si>
  <si>
    <t>PIN</t>
  </si>
  <si>
    <t>OCT/ TCT No.</t>
  </si>
  <si>
    <t>Owner</t>
  </si>
  <si>
    <t>Address</t>
  </si>
  <si>
    <t>PROPERTY LOCATION</t>
  </si>
  <si>
    <t>No. Street</t>
  </si>
  <si>
    <t>Municipality</t>
  </si>
  <si>
    <t>Barangay</t>
  </si>
  <si>
    <t>PROPERTY BOUNDARIES</t>
  </si>
  <si>
    <t>LAND APPRAISAL</t>
  </si>
  <si>
    <t>Classification</t>
  </si>
  <si>
    <t>Sub-Class</t>
  </si>
  <si>
    <t>Area</t>
  </si>
  <si>
    <t>Unit Value</t>
  </si>
  <si>
    <t>MARKET VALUE</t>
  </si>
  <si>
    <t>OTHER IMPROVEMENTS</t>
  </si>
  <si>
    <t>Product Class</t>
  </si>
  <si>
    <t>Number</t>
  </si>
  <si>
    <t>Market Value</t>
  </si>
  <si>
    <t>Adj. Factor</t>
  </si>
  <si>
    <t>% Adjustment</t>
  </si>
  <si>
    <t>Value Adjustment</t>
  </si>
  <si>
    <t>Adjusted Market Value</t>
  </si>
  <si>
    <t>TOTAL</t>
  </si>
  <si>
    <t>PROPERTY ASSESSMENT</t>
  </si>
  <si>
    <t>Kind</t>
  </si>
  <si>
    <t>Actual Use</t>
  </si>
  <si>
    <t>Assessment Level</t>
  </si>
  <si>
    <t>Assessed Value</t>
  </si>
  <si>
    <t xml:space="preserve">                    </t>
  </si>
  <si>
    <t>MEMORANDA:</t>
  </si>
  <si>
    <t>D. RECORD OF SUPERSEDED ASSESSMENT</t>
  </si>
  <si>
    <t>MUNICIPALITY OF BOAC</t>
  </si>
  <si>
    <t>OFFICE OF THE MUNICIPAL ASSESSOR</t>
  </si>
  <si>
    <t>VEMBER L. REFUGIO</t>
  </si>
  <si>
    <t>JONATHAN E. MAGTURO</t>
  </si>
  <si>
    <t>Taxmapper I</t>
  </si>
  <si>
    <t>Municipal Assessor</t>
  </si>
  <si>
    <t>RICARDO J. NIEVA</t>
  </si>
  <si>
    <t>Appraised/Assessed by:</t>
  </si>
  <si>
    <t>Province/City</t>
  </si>
  <si>
    <t>Owner/Administrator</t>
  </si>
  <si>
    <t>Approved by:</t>
  </si>
  <si>
    <t>Reviewed and Checked by:</t>
  </si>
  <si>
    <t>REENA N. AURIN  REA-0005811</t>
  </si>
  <si>
    <t>ProvincialAssessor</t>
  </si>
  <si>
    <t>Local Assessment Operation Officer I</t>
  </si>
  <si>
    <t>Effictivity:</t>
  </si>
  <si>
    <t>Taxability:</t>
  </si>
  <si>
    <t>TAXABLE</t>
  </si>
  <si>
    <t>Previous T.D. No.:</t>
  </si>
  <si>
    <t>Previous Owner:</t>
  </si>
  <si>
    <t>Previous AV - Land:</t>
  </si>
  <si>
    <t>Previous AV - Improvements:</t>
  </si>
  <si>
    <t>Previous Total AV:</t>
  </si>
  <si>
    <t>LAND</t>
  </si>
  <si>
    <t>IMPROVEMENTS</t>
  </si>
  <si>
    <t>Administrator</t>
  </si>
  <si>
    <t xml:space="preserve">         This retires PIN 030-01-026-10-013, now subdivided into six(6) lots designated as ALN 050 to ALN 055. Transfer of ownership based on title. Reassessment due to correction of land classification. This reclassification and reassessment is made solely for real property taxation purposes pursuant to Sec. 217 of RA 7160 and should not be construed as conversion as contemplated under RA 6657. Exempt from payment of transfer fee pursuant to Sec. 135(a) of RA 7160 and RA 6657.</t>
  </si>
  <si>
    <t>RESIDENTIAL</t>
  </si>
  <si>
    <t>ARNOLFO M. MONLEON AND EUNESIE Q. MONLEON</t>
  </si>
  <si>
    <t>030-01-050-01-030</t>
  </si>
  <si>
    <t>CLN</t>
  </si>
  <si>
    <t>AGOT, BOAC, MARINDUQUE</t>
  </si>
  <si>
    <t>TAGWAK</t>
  </si>
  <si>
    <t>BOAC</t>
  </si>
  <si>
    <t>MARINDUQUE</t>
  </si>
  <si>
    <t>North  / NW</t>
  </si>
  <si>
    <t>South  / SW</t>
  </si>
  <si>
    <t>West    / SE</t>
  </si>
  <si>
    <t>East     / NE</t>
  </si>
  <si>
    <t>(15248)</t>
  </si>
  <si>
    <t>15249, CAD. 544-D, C-35</t>
  </si>
  <si>
    <t>-9,0,0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</si>
</sst>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
  </numFmts>
  <fonts count="10" x14ac:knownFonts="1">
    <font>
      <sz val="11"/>
      <color theme="1"/>
      <name val="Calibri"/>
      <family val="2"/>
      <scheme val="minor"/>
    </font>
    <font>
      <sz val="11"/>
      <color theme="1"/>
      <name val="Calibri"/>
      <family val="2"/>
      <scheme val="minor"/>
    </font>
    <font>
      <b/>
      <sz val="11"/>
      <color indexed="8"/>
      <name val="Bahnschrift Condensed"/>
      <family val="2"/>
    </font>
    <font>
      <b/>
      <sz val="11"/>
      <name val="Bahnschrift Condensed"/>
      <family val="2"/>
    </font>
    <font>
      <b/>
      <sz val="14"/>
      <color indexed="8"/>
      <name val="Bahnschrift Condensed"/>
      <family val="2"/>
    </font>
    <font>
      <sz val="11"/>
      <color indexed="8"/>
      <name val="Bahnschrift Condensed"/>
      <family val="2"/>
    </font>
    <font>
      <b/>
      <sz val="12"/>
      <color indexed="8"/>
      <name val="Bahnschrift Condensed"/>
      <family val="2"/>
    </font>
    <font>
      <b/>
      <i/>
      <sz val="11"/>
      <color indexed="8"/>
      <name val="Bahnschrift Condensed"/>
      <family val="2"/>
    </font>
    <font>
      <sz val="11"/>
      <name val="Bahnschrift Condensed"/>
      <family val="2"/>
    </font>
    <font>
      <sz val="8"/>
      <name val="Calibri"/>
      <family val="2"/>
      <scheme val="minor"/>
    </font>
  </fonts>
  <fills count="2">
    <fill>
      <patternFill patternType="none"/>
    </fill>
    <fill>
      <patternFill patternType="gray125"/>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auto="1"/>
      </right>
      <top/>
      <bottom/>
      <diagonal/>
    </border>
    <border>
      <left style="thin">
        <color indexed="64"/>
      </left>
      <right style="thin">
        <color auto="1"/>
      </right>
      <top style="thin">
        <color indexed="64"/>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106">
    <xf numFmtId="0" fontId="0" fillId="0" borderId="0" xfId="0"/>
    <xf numFmtId="0" fontId="4" fillId="0" borderId="0" xfId="0" applyFont="1" applyAlignment="1">
      <alignment horizontal="center"/>
    </xf>
    <xf numFmtId="0" fontId="5" fillId="0" borderId="0" xfId="0" applyFont="1"/>
    <xf numFmtId="0" fontId="5" fillId="0" borderId="1" xfId="0" applyFont="1" applyBorder="1"/>
    <xf numFmtId="0" fontId="5" fillId="0" borderId="2" xfId="0" applyFont="1" applyBorder="1" applyAlignment="1">
      <alignment horizontal="center"/>
    </xf>
    <xf numFmtId="0" fontId="5" fillId="0" borderId="1" xfId="0" applyFont="1" applyBorder="1" applyAlignment="1">
      <alignment horizontal="center"/>
    </xf>
    <xf numFmtId="0" fontId="5" fillId="0" borderId="2" xfId="0" applyFont="1" applyBorder="1"/>
    <xf numFmtId="0" fontId="5" fillId="0" borderId="3" xfId="0" applyFont="1" applyBorder="1"/>
    <xf numFmtId="0" fontId="5" fillId="0" borderId="6" xfId="0" applyFont="1" applyBorder="1"/>
    <xf numFmtId="0" fontId="2" fillId="0" borderId="0" xfId="0" applyFont="1"/>
    <xf numFmtId="0" fontId="5" fillId="0" borderId="10" xfId="0" applyFont="1" applyBorder="1"/>
    <xf numFmtId="0" fontId="5" fillId="0" borderId="0" xfId="0" applyFont="1" applyAlignment="1">
      <alignment horizontal="center"/>
    </xf>
    <xf numFmtId="0" fontId="5" fillId="0" borderId="8" xfId="0" applyFont="1" applyBorder="1"/>
    <xf numFmtId="0" fontId="2" fillId="0" borderId="2" xfId="0" applyFont="1" applyBorder="1"/>
    <xf numFmtId="0" fontId="3" fillId="0" borderId="1" xfId="0" applyFont="1" applyBorder="1" applyAlignment="1">
      <alignment horizontal="center"/>
    </xf>
    <xf numFmtId="164" fontId="2" fillId="0" borderId="1" xfId="0" applyNumberFormat="1" applyFont="1" applyBorder="1" applyAlignment="1">
      <alignment horizontal="center" vertical="center"/>
    </xf>
    <xf numFmtId="43" fontId="5" fillId="0" borderId="3" xfId="1" applyFont="1" applyFill="1" applyBorder="1" applyAlignment="1" applyProtection="1"/>
    <xf numFmtId="43" fontId="2" fillId="0" borderId="3" xfId="1" applyFont="1" applyFill="1" applyBorder="1" applyAlignment="1" applyProtection="1"/>
    <xf numFmtId="43" fontId="2" fillId="0" borderId="2" xfId="1" applyFont="1" applyFill="1" applyBorder="1" applyAlignment="1" applyProtection="1"/>
    <xf numFmtId="0" fontId="5" fillId="0" borderId="20" xfId="0" applyFont="1" applyBorder="1"/>
    <xf numFmtId="10" fontId="2" fillId="0" borderId="1" xfId="0" applyNumberFormat="1" applyFont="1" applyBorder="1" applyAlignment="1">
      <alignment horizontal="center"/>
    </xf>
    <xf numFmtId="0" fontId="5" fillId="0" borderId="0" xfId="0" applyFont="1" applyAlignment="1">
      <alignment wrapText="1"/>
    </xf>
    <xf numFmtId="0" fontId="2" fillId="0" borderId="0" xfId="0" applyFont="1" applyAlignment="1">
      <alignment horizontal="center"/>
    </xf>
    <xf numFmtId="0" fontId="5" fillId="0" borderId="21" xfId="0" applyFont="1" applyBorder="1" applyAlignment="1">
      <alignment vertical="center"/>
    </xf>
    <xf numFmtId="0" fontId="5" fillId="0" borderId="21" xfId="0" applyFont="1" applyBorder="1" applyAlignment="1">
      <alignment horizontal="left" vertical="center"/>
    </xf>
    <xf numFmtId="43" fontId="2" fillId="0" borderId="21" xfId="1" applyFont="1" applyFill="1" applyBorder="1" applyAlignment="1" applyProtection="1"/>
    <xf numFmtId="43" fontId="2" fillId="0" borderId="21" xfId="1" applyFont="1" applyBorder="1" applyAlignment="1"/>
    <xf numFmtId="49" fontId="2" fillId="0" borderId="1" xfId="0" quotePrefix="1" applyNumberFormat="1" applyFont="1" applyBorder="1" applyAlignment="1">
      <alignment horizontal="center"/>
    </xf>
    <xf numFmtId="49" fontId="5" fillId="0" borderId="1" xfId="0" applyNumberFormat="1" applyFont="1" applyBorder="1" applyAlignment="1">
      <alignment horizontal="center"/>
    </xf>
    <xf numFmtId="43" fontId="2" fillId="0" borderId="23" xfId="1" applyFont="1" applyFill="1" applyBorder="1" applyAlignment="1" applyProtection="1"/>
    <xf numFmtId="0" fontId="2" fillId="0" borderId="21" xfId="0" applyFont="1" applyBorder="1"/>
    <xf numFmtId="0" fontId="2" fillId="0" borderId="21" xfId="0"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xf>
    <xf numFmtId="0" fontId="5" fillId="0" borderId="3" xfId="0" applyFont="1" applyBorder="1" applyAlignment="1">
      <alignment horizontal="center"/>
    </xf>
    <xf numFmtId="0" fontId="2" fillId="0" borderId="22" xfId="0" applyFont="1" applyBorder="1" applyAlignment="1">
      <alignment horizontal="left"/>
    </xf>
    <xf numFmtId="0" fontId="2" fillId="0" borderId="24" xfId="0" applyFont="1" applyBorder="1" applyAlignment="1">
      <alignment horizontal="left"/>
    </xf>
    <xf numFmtId="0" fontId="2" fillId="0" borderId="23" xfId="0" applyFont="1" applyBorder="1" applyAlignment="1">
      <alignment horizontal="left"/>
    </xf>
    <xf numFmtId="0" fontId="5" fillId="0" borderId="14" xfId="0" applyFont="1" applyBorder="1" applyAlignment="1">
      <alignment horizontal="center"/>
    </xf>
    <xf numFmtId="0" fontId="5" fillId="0" borderId="15"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5" fillId="0" borderId="11" xfId="0" applyFont="1" applyBorder="1" applyAlignment="1">
      <alignment horizontal="left" vertical="top"/>
    </xf>
    <xf numFmtId="0" fontId="5" fillId="0" borderId="12" xfId="0" applyFont="1" applyBorder="1" applyAlignment="1">
      <alignment horizontal="left" vertical="top"/>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10" xfId="0" applyFont="1" applyBorder="1" applyAlignment="1">
      <alignment horizontal="left" vertical="center" wrapText="1"/>
    </xf>
    <xf numFmtId="0" fontId="2" fillId="0" borderId="9" xfId="0" applyFont="1" applyBorder="1" applyAlignment="1">
      <alignment horizontal="left" vertical="center" wrapText="1"/>
    </xf>
    <xf numFmtId="0" fontId="4" fillId="0" borderId="0" xfId="0" applyFont="1" applyAlignment="1">
      <alignment horizontal="center"/>
    </xf>
    <xf numFmtId="0" fontId="6" fillId="0" borderId="2" xfId="0" applyFont="1" applyBorder="1" applyAlignment="1">
      <alignment horizontal="center"/>
    </xf>
    <xf numFmtId="0" fontId="6" fillId="0" borderId="4" xfId="0" applyFont="1" applyBorder="1" applyAlignment="1">
      <alignment horizontal="center"/>
    </xf>
    <xf numFmtId="0" fontId="6" fillId="0" borderId="3" xfId="0" applyFont="1"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left"/>
    </xf>
    <xf numFmtId="0" fontId="2" fillId="0" borderId="4" xfId="0" applyFont="1" applyBorder="1" applyAlignment="1">
      <alignment horizontal="left"/>
    </xf>
    <xf numFmtId="0" fontId="2" fillId="0" borderId="3" xfId="0" applyFont="1" applyBorder="1" applyAlignment="1">
      <alignment horizontal="left"/>
    </xf>
    <xf numFmtId="43" fontId="3" fillId="0" borderId="2" xfId="1" applyFont="1" applyFill="1" applyBorder="1" applyAlignment="1" applyProtection="1">
      <alignment horizontal="center"/>
    </xf>
    <xf numFmtId="43" fontId="3" fillId="0" borderId="3" xfId="1" applyFont="1" applyFill="1" applyBorder="1" applyAlignment="1" applyProtection="1">
      <alignment horizontal="center"/>
    </xf>
    <xf numFmtId="43" fontId="2" fillId="0" borderId="22" xfId="1" applyFont="1" applyFill="1" applyBorder="1" applyAlignment="1" applyProtection="1">
      <alignment horizontal="center"/>
    </xf>
    <xf numFmtId="43" fontId="2" fillId="0" borderId="23" xfId="1" applyFont="1" applyFill="1" applyBorder="1" applyAlignment="1" applyProtection="1">
      <alignment horizontal="center"/>
    </xf>
    <xf numFmtId="43" fontId="2" fillId="0" borderId="2" xfId="1" applyFont="1" applyFill="1" applyBorder="1" applyAlignment="1" applyProtection="1">
      <alignment horizontal="center"/>
    </xf>
    <xf numFmtId="43" fontId="2" fillId="0" borderId="3" xfId="1" applyFont="1" applyFill="1" applyBorder="1" applyAlignment="1" applyProtection="1">
      <alignment horizontal="center"/>
    </xf>
    <xf numFmtId="43" fontId="2" fillId="0" borderId="2" xfId="0" applyNumberFormat="1" applyFont="1" applyBorder="1" applyAlignment="1">
      <alignment horizontal="center"/>
    </xf>
    <xf numFmtId="0" fontId="2" fillId="0" borderId="10" xfId="0" applyFont="1" applyBorder="1" applyAlignment="1">
      <alignment horizontal="center"/>
    </xf>
    <xf numFmtId="0" fontId="2" fillId="0" borderId="18" xfId="0" applyFont="1" applyBorder="1" applyAlignment="1">
      <alignment horizontal="center"/>
    </xf>
    <xf numFmtId="9" fontId="2" fillId="0" borderId="2" xfId="0" applyNumberFormat="1" applyFont="1" applyBorder="1" applyAlignment="1">
      <alignment horizontal="center"/>
    </xf>
    <xf numFmtId="9" fontId="2" fillId="0" borderId="3" xfId="0" applyNumberFormat="1" applyFont="1" applyBorder="1" applyAlignment="1">
      <alignment horizontal="center"/>
    </xf>
    <xf numFmtId="0" fontId="5" fillId="0" borderId="6" xfId="0" applyFont="1" applyBorder="1" applyAlignment="1">
      <alignment horizontal="center"/>
    </xf>
    <xf numFmtId="0" fontId="5" fillId="0" borderId="0" xfId="0" applyFont="1" applyAlignment="1">
      <alignment horizontal="left"/>
    </xf>
    <xf numFmtId="0" fontId="5" fillId="0" borderId="0" xfId="0" applyFont="1" applyAlignment="1">
      <alignment horizontal="center"/>
    </xf>
    <xf numFmtId="0" fontId="7" fillId="0" borderId="18" xfId="0" applyFont="1" applyBorder="1" applyAlignment="1">
      <alignment horizontal="left"/>
    </xf>
    <xf numFmtId="0" fontId="5" fillId="0" borderId="13" xfId="0" quotePrefix="1" applyFont="1" applyBorder="1" applyAlignment="1">
      <alignment horizontal="left" vertical="top" wrapText="1"/>
    </xf>
    <xf numFmtId="0" fontId="5" fillId="0" borderId="14" xfId="0" quotePrefix="1" applyFont="1" applyBorder="1" applyAlignment="1">
      <alignment horizontal="left" vertical="top" wrapText="1"/>
    </xf>
    <xf numFmtId="0" fontId="5" fillId="0" borderId="15" xfId="0" quotePrefix="1" applyFont="1" applyBorder="1" applyAlignment="1">
      <alignment horizontal="left" vertical="top" wrapText="1"/>
    </xf>
    <xf numFmtId="0" fontId="5" fillId="0" borderId="16" xfId="0" quotePrefix="1" applyFont="1" applyBorder="1" applyAlignment="1">
      <alignment horizontal="left" vertical="top" wrapText="1"/>
    </xf>
    <xf numFmtId="0" fontId="5" fillId="0" borderId="0" xfId="0" quotePrefix="1" applyFont="1" applyAlignment="1">
      <alignment horizontal="left" vertical="top" wrapText="1"/>
    </xf>
    <xf numFmtId="0" fontId="5" fillId="0" borderId="20" xfId="0" quotePrefix="1" applyFont="1" applyBorder="1" applyAlignment="1">
      <alignment horizontal="left" vertical="top" wrapText="1"/>
    </xf>
    <xf numFmtId="0" fontId="5" fillId="0" borderId="17" xfId="0" quotePrefix="1" applyFont="1" applyBorder="1" applyAlignment="1">
      <alignment horizontal="left" vertical="top" wrapText="1"/>
    </xf>
    <xf numFmtId="0" fontId="5" fillId="0" borderId="18" xfId="0" quotePrefix="1" applyFont="1" applyBorder="1" applyAlignment="1">
      <alignment horizontal="left" vertical="top" wrapText="1"/>
    </xf>
    <xf numFmtId="0" fontId="5" fillId="0" borderId="19" xfId="0" quotePrefix="1" applyFont="1" applyBorder="1" applyAlignment="1">
      <alignment horizontal="left" vertical="top" wrapText="1"/>
    </xf>
    <xf numFmtId="0" fontId="2" fillId="0" borderId="21" xfId="0" applyFont="1" applyBorder="1" applyAlignment="1">
      <alignment horizontal="center" vertical="center"/>
    </xf>
    <xf numFmtId="0" fontId="5" fillId="0" borderId="21" xfId="0" applyFont="1" applyBorder="1" applyAlignment="1">
      <alignment horizontal="left"/>
    </xf>
    <xf numFmtId="0" fontId="5" fillId="0" borderId="21" xfId="0" applyFont="1" applyBorder="1" applyAlignment="1">
      <alignment horizontal="left" vertical="center"/>
    </xf>
    <xf numFmtId="0" fontId="2" fillId="0" borderId="21" xfId="0" applyFont="1" applyBorder="1" applyAlignment="1">
      <alignment horizontal="center" vertical="center" wrapText="1"/>
    </xf>
    <xf numFmtId="0" fontId="2" fillId="0" borderId="13" xfId="0" applyFont="1" applyBorder="1" applyAlignment="1">
      <alignment horizontal="left" vertical="top"/>
    </xf>
    <xf numFmtId="0" fontId="2" fillId="0" borderId="14" xfId="0" applyFont="1" applyBorder="1" applyAlignment="1">
      <alignment horizontal="left" vertical="top"/>
    </xf>
    <xf numFmtId="0" fontId="2" fillId="0" borderId="15" xfId="0" applyFont="1" applyBorder="1" applyAlignment="1">
      <alignment horizontal="left" vertical="top"/>
    </xf>
    <xf numFmtId="0" fontId="2" fillId="0" borderId="17" xfId="0" applyFont="1" applyBorder="1" applyAlignment="1">
      <alignment horizontal="left" vertical="top"/>
    </xf>
    <xf numFmtId="0" fontId="2" fillId="0" borderId="18" xfId="0" applyFont="1" applyBorder="1" applyAlignment="1">
      <alignment horizontal="left" vertical="top"/>
    </xf>
    <xf numFmtId="0" fontId="2" fillId="0" borderId="19" xfId="0" applyFont="1" applyBorder="1" applyAlignment="1">
      <alignment horizontal="left" vertical="top"/>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10" xfId="0" applyFont="1" applyBorder="1" applyAlignment="1">
      <alignment horizontal="left" vertical="top" wrapText="1"/>
    </xf>
    <xf numFmtId="0" fontId="2" fillId="0" borderId="9" xfId="0" applyFont="1" applyBorder="1" applyAlignment="1">
      <alignment horizontal="left" vertical="top" wrapText="1"/>
    </xf>
    <xf numFmtId="49" fontId="5" fillId="0" borderId="2" xfId="0" applyNumberFormat="1" applyFont="1" applyBorder="1" applyAlignment="1">
      <alignment horizontal="left"/>
    </xf>
    <xf numFmtId="49" fontId="5" fillId="0" borderId="4" xfId="0" applyNumberFormat="1" applyFont="1" applyBorder="1" applyAlignment="1">
      <alignment horizontal="left"/>
    </xf>
    <xf numFmtId="49" fontId="5" fillId="0" borderId="3" xfId="0" applyNumberFormat="1" applyFont="1" applyBorder="1" applyAlignment="1">
      <alignment horizontal="left"/>
    </xf>
    <xf numFmtId="49" fontId="8" fillId="0" borderId="2" xfId="0" applyNumberFormat="1" applyFont="1" applyBorder="1" applyAlignment="1">
      <alignment horizontal="left"/>
    </xf>
    <xf numFmtId="49" fontId="8" fillId="0" borderId="4" xfId="0" applyNumberFormat="1" applyFont="1" applyBorder="1" applyAlignment="1">
      <alignment horizontal="left"/>
    </xf>
    <xf numFmtId="49" fontId="8" fillId="0" borderId="3" xfId="0" applyNumberFormat="1" applyFont="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238125</xdr:colOff>
      <xdr:row>0</xdr:row>
      <xdr:rowOff>0</xdr:rowOff>
    </xdr:from>
    <xdr:to>
      <xdr:col>2</xdr:col>
      <xdr:colOff>117712</xdr:colOff>
      <xdr:row>3</xdr:row>
      <xdr:rowOff>38271</xdr:rowOff>
    </xdr:to>
    <xdr:pic>
      <xdr:nvPicPr>
        <xdr:cNvPr id="2" name="Picture 1">
          <a:extLst>
            <a:ext uri="{FF2B5EF4-FFF2-40B4-BE49-F238E27FC236}">
              <a16:creationId xmlns:a16="http://schemas.microsoft.com/office/drawing/2014/main" id="{3A5BFAA3-58CD-47A7-A900-4D50EE2217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5850" y="0"/>
          <a:ext cx="727312" cy="724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66675</xdr:colOff>
      <xdr:row>0</xdr:row>
      <xdr:rowOff>28575</xdr:rowOff>
    </xdr:from>
    <xdr:to>
      <xdr:col>6</xdr:col>
      <xdr:colOff>808056</xdr:colOff>
      <xdr:row>3</xdr:row>
      <xdr:rowOff>20497</xdr:rowOff>
    </xdr:to>
    <xdr:pic>
      <xdr:nvPicPr>
        <xdr:cNvPr id="3" name="Picture 2">
          <a:extLst>
            <a:ext uri="{FF2B5EF4-FFF2-40B4-BE49-F238E27FC236}">
              <a16:creationId xmlns:a16="http://schemas.microsoft.com/office/drawing/2014/main" id="{21132ED0-5C7D-4554-AE65-EF3224C3D1D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53000" y="28575"/>
          <a:ext cx="741381" cy="6777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453A9-39A6-4C5B-8A33-207ECFA42E7F}">
  <dimension ref="A1:H64"/>
  <sheetViews>
    <sheetView tabSelected="1" topLeftCell="A7" zoomScaleNormal="100" workbookViewId="0">
      <selection activeCell="H64" sqref="H64"/>
    </sheetView>
  </sheetViews>
  <sheetFormatPr defaultRowHeight="14.25" x14ac:dyDescent="0.2"/>
  <cols>
    <col min="1" max="2" width="12.7109375" style="2" customWidth="1"/>
    <col min="3" max="3" width="10.7109375" style="2" customWidth="1"/>
    <col min="4" max="4" width="12.7109375" style="2" customWidth="1"/>
    <col min="5" max="5" width="13.7109375" style="2" customWidth="1"/>
    <col min="6" max="6" width="10.7109375" style="2" customWidth="1"/>
    <col min="7" max="7" width="12.7109375" style="2" customWidth="1"/>
    <col min="8" max="8" width="14.7109375" style="2" customWidth="1"/>
    <col min="9" max="16384" width="9.140625" style="2"/>
  </cols>
  <sheetData>
    <row r="1" spans="1:8" ht="18" x14ac:dyDescent="0.25">
      <c r="A1" s="50" t="s">
        <v>34</v>
      </c>
      <c r="B1" s="50"/>
      <c r="C1" s="50"/>
      <c r="D1" s="50"/>
      <c r="E1" s="50"/>
      <c r="F1" s="50"/>
      <c r="G1" s="50"/>
      <c r="H1" s="50"/>
    </row>
    <row r="2" spans="1:8" ht="18" x14ac:dyDescent="0.25">
      <c r="A2" s="50" t="s">
        <v>35</v>
      </c>
      <c r="B2" s="50"/>
      <c r="C2" s="50"/>
      <c r="D2" s="50"/>
      <c r="E2" s="50"/>
      <c r="F2" s="50"/>
      <c r="G2" s="50"/>
      <c r="H2" s="50"/>
    </row>
    <row r="3" spans="1:8" ht="18" x14ac:dyDescent="0.25">
      <c r="A3" s="1"/>
      <c r="B3" s="1"/>
      <c r="C3" s="1"/>
      <c r="D3" s="1"/>
      <c r="E3" s="1"/>
      <c r="F3" s="1"/>
      <c r="G3" s="1"/>
      <c r="H3" s="1"/>
    </row>
    <row r="4" spans="1:8" ht="12" customHeight="1" x14ac:dyDescent="0.25">
      <c r="A4" s="1"/>
      <c r="B4" s="1"/>
      <c r="C4" s="1"/>
      <c r="D4" s="1"/>
      <c r="E4" s="1"/>
      <c r="F4" s="1"/>
      <c r="G4" s="1"/>
      <c r="H4" s="1"/>
    </row>
    <row r="5" spans="1:8" ht="15" x14ac:dyDescent="0.2">
      <c r="A5" s="51" t="s">
        <v>0</v>
      </c>
      <c r="B5" s="52"/>
      <c r="C5" s="52"/>
      <c r="D5" s="52"/>
      <c r="E5" s="52"/>
      <c r="F5" s="52"/>
      <c r="G5" s="52"/>
      <c r="H5" s="53"/>
    </row>
    <row r="6" spans="1:8" x14ac:dyDescent="0.2">
      <c r="A6" s="3" t="s">
        <v>1</v>
      </c>
      <c r="B6" s="32"/>
      <c r="C6" s="33"/>
      <c r="D6" s="34"/>
      <c r="E6" s="3" t="s">
        <v>2</v>
      </c>
      <c r="F6" s="35" t="s">
        <v>63</v>
      </c>
      <c r="G6" s="36"/>
      <c r="H6" s="37"/>
    </row>
    <row r="7" spans="1:8" x14ac:dyDescent="0.2">
      <c r="A7" s="3" t="s">
        <v>3</v>
      </c>
      <c r="B7" s="32"/>
      <c r="C7" s="33"/>
      <c r="D7" s="34"/>
      <c r="E7" s="3" t="s">
        <v>64</v>
      </c>
      <c r="F7" s="35" t="s">
        <v>74</v>
      </c>
      <c r="G7" s="36"/>
      <c r="H7" s="37"/>
    </row>
    <row r="8" spans="1:8" x14ac:dyDescent="0.2">
      <c r="A8" s="42" t="s">
        <v>4</v>
      </c>
      <c r="B8" s="88" t="s">
        <v>62</v>
      </c>
      <c r="C8" s="89"/>
      <c r="D8" s="90"/>
      <c r="E8" s="42" t="s">
        <v>5</v>
      </c>
      <c r="F8" s="94" t="s">
        <v>65</v>
      </c>
      <c r="G8" s="95"/>
      <c r="H8" s="96"/>
    </row>
    <row r="9" spans="1:8" x14ac:dyDescent="0.2">
      <c r="A9" s="43"/>
      <c r="B9" s="91"/>
      <c r="C9" s="92"/>
      <c r="D9" s="93"/>
      <c r="E9" s="43"/>
      <c r="F9" s="97"/>
      <c r="G9" s="98"/>
      <c r="H9" s="99"/>
    </row>
    <row r="10" spans="1:8" x14ac:dyDescent="0.2">
      <c r="A10" s="42" t="s">
        <v>59</v>
      </c>
      <c r="B10" s="38"/>
      <c r="C10" s="38"/>
      <c r="D10" s="39"/>
      <c r="E10" s="42" t="s">
        <v>5</v>
      </c>
      <c r="F10" s="44"/>
      <c r="G10" s="45"/>
      <c r="H10" s="46"/>
    </row>
    <row r="11" spans="1:8" x14ac:dyDescent="0.2">
      <c r="A11" s="43"/>
      <c r="B11" s="40"/>
      <c r="C11" s="40"/>
      <c r="D11" s="41"/>
      <c r="E11" s="43"/>
      <c r="F11" s="47"/>
      <c r="G11" s="48"/>
      <c r="H11" s="49"/>
    </row>
    <row r="12" spans="1:8" x14ac:dyDescent="0.2">
      <c r="A12" s="54" t="s">
        <v>6</v>
      </c>
      <c r="B12" s="55"/>
      <c r="C12" s="55"/>
      <c r="D12" s="55"/>
      <c r="E12" s="55"/>
      <c r="F12" s="55"/>
      <c r="G12" s="55"/>
      <c r="H12" s="56"/>
    </row>
    <row r="13" spans="1:8" x14ac:dyDescent="0.2">
      <c r="A13" s="3" t="s">
        <v>7</v>
      </c>
      <c r="B13" s="32"/>
      <c r="C13" s="33"/>
      <c r="D13" s="34"/>
      <c r="E13" s="3" t="s">
        <v>8</v>
      </c>
      <c r="F13" s="57" t="s">
        <v>67</v>
      </c>
      <c r="G13" s="58"/>
      <c r="H13" s="59"/>
    </row>
    <row r="14" spans="1:8" x14ac:dyDescent="0.2">
      <c r="A14" s="3" t="s">
        <v>9</v>
      </c>
      <c r="B14" s="54" t="s">
        <v>66</v>
      </c>
      <c r="C14" s="55"/>
      <c r="D14" s="56"/>
      <c r="E14" s="3" t="s">
        <v>42</v>
      </c>
      <c r="F14" s="57" t="s">
        <v>68</v>
      </c>
      <c r="G14" s="58"/>
      <c r="H14" s="59"/>
    </row>
    <row r="15" spans="1:8" x14ac:dyDescent="0.2">
      <c r="A15" s="54" t="s">
        <v>10</v>
      </c>
      <c r="B15" s="55"/>
      <c r="C15" s="55"/>
      <c r="D15" s="55"/>
      <c r="E15" s="55"/>
      <c r="F15" s="55"/>
      <c r="G15" s="55"/>
      <c r="H15" s="56"/>
    </row>
    <row r="16" spans="1:8" x14ac:dyDescent="0.2">
      <c r="A16" s="3" t="s">
        <v>69</v>
      </c>
      <c r="B16" s="100" t="s">
        <v>73</v>
      </c>
      <c r="C16" s="101"/>
      <c r="D16" s="101"/>
      <c r="E16" s="101"/>
      <c r="F16" s="101"/>
      <c r="G16" s="101"/>
      <c r="H16" s="102"/>
    </row>
    <row r="17" spans="1:8" x14ac:dyDescent="0.2">
      <c r="A17" s="3" t="s">
        <v>72</v>
      </c>
      <c r="B17" s="103" t="s">
        <v>73</v>
      </c>
      <c r="C17" s="104"/>
      <c r="D17" s="104"/>
      <c r="E17" s="104"/>
      <c r="F17" s="104"/>
      <c r="G17" s="104"/>
      <c r="H17" s="105"/>
    </row>
    <row r="18" spans="1:8" x14ac:dyDescent="0.2">
      <c r="A18" s="3" t="s">
        <v>71</v>
      </c>
      <c r="B18" s="100"/>
      <c r="C18" s="101"/>
      <c r="D18" s="101"/>
      <c r="E18" s="101"/>
      <c r="F18" s="101"/>
      <c r="G18" s="101"/>
      <c r="H18" s="102"/>
    </row>
    <row r="19" spans="1:8" x14ac:dyDescent="0.2">
      <c r="A19" s="3" t="s">
        <v>70</v>
      </c>
      <c r="B19" s="100"/>
      <c r="C19" s="101"/>
      <c r="D19" s="101"/>
      <c r="E19" s="101"/>
      <c r="F19" s="101"/>
      <c r="G19" s="101"/>
      <c r="H19" s="102"/>
    </row>
    <row r="20" spans="1:8" x14ac:dyDescent="0.2">
      <c r="A20" s="54" t="s">
        <v>11</v>
      </c>
      <c r="B20" s="55"/>
      <c r="C20" s="55"/>
      <c r="D20" s="55"/>
      <c r="E20" s="55"/>
      <c r="F20" s="55"/>
      <c r="G20" s="55"/>
      <c r="H20" s="56"/>
    </row>
    <row r="21" spans="1:8" x14ac:dyDescent="0.2">
      <c r="A21" s="32" t="s">
        <v>12</v>
      </c>
      <c r="B21" s="34"/>
      <c r="C21" s="4" t="s">
        <v>13</v>
      </c>
      <c r="D21" s="5" t="s">
        <v>14</v>
      </c>
      <c r="E21" s="32" t="s">
        <v>15</v>
      </c>
      <c r="F21" s="34"/>
      <c r="G21" s="32" t="s">
        <v>20</v>
      </c>
      <c r="H21" s="34"/>
    </row>
    <row r="22" spans="1:8" x14ac:dyDescent="0.2">
      <c r="A22" s="54" t="s">
        <v>61</v>
      </c>
      <c r="B22" s="56"/>
      <c r="C22" s="14">
        <v>2</v>
      </c>
      <c r="D22" s="15">
        <v>400</v>
      </c>
      <c r="E22" s="60">
        <v>610</v>
      </c>
      <c r="F22" s="61"/>
      <c r="G22" s="62">
        <f>MROUND(D22*E22,10)</f>
        <v>244000</v>
      </c>
      <c r="H22" s="63"/>
    </row>
    <row r="23" spans="1:8" x14ac:dyDescent="0.2">
      <c r="A23" s="32"/>
      <c r="B23" s="34"/>
      <c r="C23" s="5"/>
      <c r="D23" s="3"/>
      <c r="E23" s="32"/>
      <c r="F23" s="34"/>
      <c r="G23" s="32"/>
      <c r="H23" s="34"/>
    </row>
    <row r="24" spans="1:8" x14ac:dyDescent="0.2">
      <c r="A24" s="32"/>
      <c r="B24" s="34"/>
      <c r="C24" s="3"/>
      <c r="D24" s="3"/>
      <c r="E24" s="32"/>
      <c r="F24" s="34"/>
      <c r="G24" s="32"/>
      <c r="H24" s="34"/>
    </row>
    <row r="25" spans="1:8" x14ac:dyDescent="0.2">
      <c r="A25" s="54" t="s">
        <v>25</v>
      </c>
      <c r="B25" s="56"/>
      <c r="C25" s="3"/>
      <c r="D25" s="3"/>
      <c r="E25" s="32"/>
      <c r="F25" s="34"/>
      <c r="G25" s="64">
        <f>SUM(G22:G24)</f>
        <v>244000</v>
      </c>
      <c r="H25" s="65"/>
    </row>
    <row r="26" spans="1:8" x14ac:dyDescent="0.2">
      <c r="A26" s="54" t="s">
        <v>17</v>
      </c>
      <c r="B26" s="55"/>
      <c r="C26" s="55"/>
      <c r="D26" s="55"/>
      <c r="E26" s="55"/>
      <c r="F26" s="55"/>
      <c r="G26" s="55"/>
      <c r="H26" s="56"/>
    </row>
    <row r="27" spans="1:8" x14ac:dyDescent="0.2">
      <c r="A27" s="32" t="s">
        <v>18</v>
      </c>
      <c r="B27" s="34"/>
      <c r="C27" s="32" t="s">
        <v>19</v>
      </c>
      <c r="D27" s="34"/>
      <c r="E27" s="32" t="s">
        <v>15</v>
      </c>
      <c r="F27" s="34"/>
      <c r="G27" s="32" t="s">
        <v>20</v>
      </c>
      <c r="H27" s="34"/>
    </row>
    <row r="28" spans="1:8" x14ac:dyDescent="0.2">
      <c r="A28" s="54"/>
      <c r="B28" s="56"/>
      <c r="C28" s="54"/>
      <c r="D28" s="56"/>
      <c r="E28" s="64">
        <v>0</v>
      </c>
      <c r="F28" s="65"/>
      <c r="G28" s="62">
        <f>MROUND(C28*E28,10)</f>
        <v>0</v>
      </c>
      <c r="H28" s="63"/>
    </row>
    <row r="29" spans="1:8" x14ac:dyDescent="0.2">
      <c r="A29" s="32"/>
      <c r="B29" s="34"/>
      <c r="C29" s="32"/>
      <c r="D29" s="34"/>
      <c r="E29" s="32"/>
      <c r="F29" s="34"/>
      <c r="G29" s="32"/>
      <c r="H29" s="34"/>
    </row>
    <row r="30" spans="1:8" x14ac:dyDescent="0.2">
      <c r="A30" s="32"/>
      <c r="B30" s="34"/>
      <c r="C30" s="32"/>
      <c r="D30" s="34"/>
      <c r="E30" s="32"/>
      <c r="F30" s="34"/>
      <c r="G30" s="32"/>
      <c r="H30" s="34"/>
    </row>
    <row r="31" spans="1:8" x14ac:dyDescent="0.2">
      <c r="A31" s="32"/>
      <c r="B31" s="34"/>
      <c r="C31" s="32"/>
      <c r="D31" s="34"/>
      <c r="E31" s="32"/>
      <c r="F31" s="34"/>
      <c r="G31" s="32"/>
      <c r="H31" s="34"/>
    </row>
    <row r="32" spans="1:8" x14ac:dyDescent="0.2">
      <c r="A32" s="54" t="s">
        <v>25</v>
      </c>
      <c r="B32" s="56"/>
      <c r="C32" s="32"/>
      <c r="D32" s="34"/>
      <c r="E32" s="32"/>
      <c r="F32" s="34"/>
      <c r="G32" s="66">
        <f>SUM(G28:G31)</f>
        <v>0</v>
      </c>
      <c r="H32" s="56"/>
    </row>
    <row r="33" spans="1:8" x14ac:dyDescent="0.2">
      <c r="A33" s="67" t="s">
        <v>16</v>
      </c>
      <c r="B33" s="67"/>
      <c r="C33" s="67"/>
      <c r="D33" s="67"/>
      <c r="E33" s="67"/>
      <c r="F33" s="67"/>
      <c r="G33" s="67"/>
      <c r="H33" s="67"/>
    </row>
    <row r="34" spans="1:8" x14ac:dyDescent="0.2">
      <c r="A34" s="32" t="s">
        <v>20</v>
      </c>
      <c r="B34" s="34"/>
      <c r="C34" s="5" t="s">
        <v>21</v>
      </c>
      <c r="D34" s="5" t="s">
        <v>22</v>
      </c>
      <c r="E34" s="32" t="s">
        <v>23</v>
      </c>
      <c r="F34" s="34"/>
      <c r="G34" s="32" t="s">
        <v>24</v>
      </c>
      <c r="H34" s="34"/>
    </row>
    <row r="35" spans="1:8" ht="15" customHeight="1" x14ac:dyDescent="0.2">
      <c r="A35" s="18"/>
      <c r="B35" s="17">
        <f>G25</f>
        <v>244000</v>
      </c>
      <c r="C35" s="27" t="s">
        <v>75</v>
      </c>
      <c r="D35" s="20">
        <v>0.97</v>
      </c>
      <c r="E35" s="6"/>
      <c r="F35" s="7"/>
      <c r="G35" s="6"/>
      <c r="H35" s="29">
        <f>MROUND(B35*D35,10)</f>
        <v>236680</v>
      </c>
    </row>
    <row r="36" spans="1:8" ht="15" customHeight="1" x14ac:dyDescent="0.2">
      <c r="A36" s="18"/>
      <c r="B36" s="17">
        <f>G32</f>
        <v>0</v>
      </c>
      <c r="C36" s="27"/>
      <c r="D36" s="20"/>
      <c r="E36" s="6"/>
      <c r="F36" s="7"/>
      <c r="G36" s="6"/>
      <c r="H36" s="29">
        <f>MROUND(B36*D36,10)</f>
        <v>0</v>
      </c>
    </row>
    <row r="37" spans="1:8" x14ac:dyDescent="0.2">
      <c r="A37" s="6"/>
      <c r="B37" s="7"/>
      <c r="C37" s="28"/>
      <c r="D37" s="5"/>
      <c r="E37" s="6"/>
      <c r="F37" s="7"/>
      <c r="G37" s="6"/>
      <c r="H37" s="17"/>
    </row>
    <row r="38" spans="1:8" x14ac:dyDescent="0.2">
      <c r="A38" s="54" t="s">
        <v>25</v>
      </c>
      <c r="B38" s="56"/>
      <c r="C38" s="5"/>
      <c r="D38" s="5"/>
      <c r="E38" s="6"/>
      <c r="F38" s="7"/>
      <c r="G38" s="6"/>
      <c r="H38" s="17">
        <f>SUM(H35:H37)</f>
        <v>236680</v>
      </c>
    </row>
    <row r="39" spans="1:8" x14ac:dyDescent="0.2">
      <c r="A39" s="54" t="s">
        <v>26</v>
      </c>
      <c r="B39" s="55"/>
      <c r="C39" s="55"/>
      <c r="D39" s="55"/>
      <c r="E39" s="55"/>
      <c r="F39" s="55"/>
      <c r="G39" s="55"/>
      <c r="H39" s="56"/>
    </row>
    <row r="40" spans="1:8" x14ac:dyDescent="0.2">
      <c r="A40" s="5" t="s">
        <v>27</v>
      </c>
      <c r="B40" s="5" t="s">
        <v>28</v>
      </c>
      <c r="C40" s="32" t="s">
        <v>20</v>
      </c>
      <c r="D40" s="34"/>
      <c r="E40" s="32" t="s">
        <v>29</v>
      </c>
      <c r="F40" s="34"/>
      <c r="G40" s="32" t="s">
        <v>30</v>
      </c>
      <c r="H40" s="34"/>
    </row>
    <row r="41" spans="1:8" x14ac:dyDescent="0.2">
      <c r="A41" s="30" t="s">
        <v>57</v>
      </c>
      <c r="B41" s="31" t="s">
        <v>61</v>
      </c>
      <c r="C41" s="13"/>
      <c r="D41" s="17">
        <f>H35</f>
        <v>236680</v>
      </c>
      <c r="E41" s="69">
        <v>0.2</v>
      </c>
      <c r="F41" s="70"/>
      <c r="G41" s="13"/>
      <c r="H41" s="29">
        <f>MROUND(D41*E41,10)</f>
        <v>47340</v>
      </c>
    </row>
    <row r="42" spans="1:8" x14ac:dyDescent="0.2">
      <c r="A42" s="30" t="s">
        <v>58</v>
      </c>
      <c r="B42" s="31"/>
      <c r="C42" s="13"/>
      <c r="D42" s="17">
        <f>H36</f>
        <v>0</v>
      </c>
      <c r="E42" s="69"/>
      <c r="F42" s="70"/>
      <c r="G42" s="13"/>
      <c r="H42" s="29">
        <f>MROUND(D42*E42,10)</f>
        <v>0</v>
      </c>
    </row>
    <row r="43" spans="1:8" x14ac:dyDescent="0.2">
      <c r="A43" s="3" t="s">
        <v>31</v>
      </c>
      <c r="B43" s="3"/>
      <c r="C43" s="6"/>
      <c r="D43" s="16"/>
      <c r="E43" s="6"/>
      <c r="F43" s="7"/>
      <c r="G43" s="6"/>
      <c r="H43" s="16"/>
    </row>
    <row r="44" spans="1:8" x14ac:dyDescent="0.2">
      <c r="A44" s="54" t="s">
        <v>25</v>
      </c>
      <c r="B44" s="56"/>
      <c r="C44" s="6"/>
      <c r="D44" s="17">
        <f>SUM(D41:D43)</f>
        <v>236680</v>
      </c>
      <c r="E44" s="6"/>
      <c r="F44" s="7"/>
      <c r="G44" s="6"/>
      <c r="H44" s="17">
        <f>SUM(H41:H43)</f>
        <v>47340</v>
      </c>
    </row>
    <row r="45" spans="1:8" ht="6.75" customHeight="1" x14ac:dyDescent="0.2">
      <c r="A45" s="8"/>
      <c r="B45" s="8"/>
      <c r="C45" s="8"/>
      <c r="D45" s="8"/>
      <c r="E45" s="8"/>
      <c r="F45" s="8"/>
      <c r="G45" s="8"/>
      <c r="H45" s="8"/>
    </row>
    <row r="46" spans="1:8" x14ac:dyDescent="0.2">
      <c r="D46" s="2" t="s">
        <v>41</v>
      </c>
    </row>
    <row r="47" spans="1:8" ht="6.75" customHeight="1" x14ac:dyDescent="0.2">
      <c r="A47" s="9"/>
    </row>
    <row r="48" spans="1:8" x14ac:dyDescent="0.2">
      <c r="A48" s="40"/>
      <c r="B48" s="40"/>
      <c r="D48" s="67" t="s">
        <v>36</v>
      </c>
      <c r="E48" s="67"/>
      <c r="F48" s="9"/>
      <c r="G48" s="67" t="s">
        <v>37</v>
      </c>
      <c r="H48" s="67"/>
    </row>
    <row r="49" spans="1:8" x14ac:dyDescent="0.2">
      <c r="A49" s="38" t="s">
        <v>43</v>
      </c>
      <c r="B49" s="38"/>
      <c r="D49" s="71" t="s">
        <v>38</v>
      </c>
      <c r="E49" s="71"/>
      <c r="G49" s="71" t="s">
        <v>48</v>
      </c>
      <c r="H49" s="71"/>
    </row>
    <row r="50" spans="1:8" x14ac:dyDescent="0.2">
      <c r="A50" s="21"/>
      <c r="E50" s="9"/>
    </row>
    <row r="51" spans="1:8" x14ac:dyDescent="0.2">
      <c r="B51" s="9"/>
      <c r="C51" s="9"/>
      <c r="D51" s="72" t="s">
        <v>45</v>
      </c>
      <c r="E51" s="72"/>
      <c r="F51" s="9"/>
      <c r="G51" s="72" t="s">
        <v>44</v>
      </c>
      <c r="H51" s="72"/>
    </row>
    <row r="52" spans="1:8" ht="6" customHeight="1" x14ac:dyDescent="0.2">
      <c r="B52" s="9"/>
      <c r="C52" s="9"/>
      <c r="D52" s="22"/>
      <c r="E52" s="22"/>
      <c r="F52" s="9"/>
      <c r="G52" s="9"/>
      <c r="H52" s="9"/>
    </row>
    <row r="53" spans="1:8" x14ac:dyDescent="0.2">
      <c r="B53" s="9"/>
      <c r="C53" s="9"/>
      <c r="D53" s="67" t="s">
        <v>40</v>
      </c>
      <c r="E53" s="67"/>
      <c r="F53" s="9"/>
      <c r="G53" s="68" t="s">
        <v>46</v>
      </c>
      <c r="H53" s="68"/>
    </row>
    <row r="54" spans="1:8" x14ac:dyDescent="0.2">
      <c r="D54" s="71" t="s">
        <v>39</v>
      </c>
      <c r="E54" s="71"/>
      <c r="F54" s="11"/>
      <c r="G54" s="73" t="s">
        <v>47</v>
      </c>
      <c r="H54" s="73"/>
    </row>
    <row r="55" spans="1:8" ht="6.75" customHeight="1" x14ac:dyDescent="0.2"/>
    <row r="56" spans="1:8" x14ac:dyDescent="0.2">
      <c r="A56" s="9" t="s">
        <v>32</v>
      </c>
      <c r="B56" s="74"/>
      <c r="C56" s="74"/>
      <c r="D56" s="74"/>
    </row>
    <row r="57" spans="1:8" ht="14.25" customHeight="1" x14ac:dyDescent="0.2">
      <c r="A57" s="75" t="s">
        <v>60</v>
      </c>
      <c r="B57" s="76"/>
      <c r="C57" s="76"/>
      <c r="D57" s="76"/>
      <c r="E57" s="76"/>
      <c r="F57" s="76"/>
      <c r="G57" s="76"/>
      <c r="H57" s="77"/>
    </row>
    <row r="58" spans="1:8" x14ac:dyDescent="0.2">
      <c r="A58" s="78"/>
      <c r="B58" s="79"/>
      <c r="C58" s="79"/>
      <c r="D58" s="79"/>
      <c r="E58" s="79"/>
      <c r="F58" s="79"/>
      <c r="G58" s="79"/>
      <c r="H58" s="80"/>
    </row>
    <row r="59" spans="1:8" x14ac:dyDescent="0.2">
      <c r="A59" s="78"/>
      <c r="B59" s="79"/>
      <c r="C59" s="79"/>
      <c r="D59" s="79"/>
      <c r="E59" s="79"/>
      <c r="F59" s="79"/>
      <c r="G59" s="79"/>
      <c r="H59" s="80"/>
    </row>
    <row r="60" spans="1:8" ht="21.75" customHeight="1" x14ac:dyDescent="0.2">
      <c r="A60" s="81"/>
      <c r="B60" s="82"/>
      <c r="C60" s="82"/>
      <c r="D60" s="82"/>
      <c r="E60" s="82"/>
      <c r="F60" s="82"/>
      <c r="G60" s="82"/>
      <c r="H60" s="83"/>
    </row>
    <row r="61" spans="1:8" x14ac:dyDescent="0.2">
      <c r="A61" s="12" t="s">
        <v>33</v>
      </c>
      <c r="B61" s="10"/>
      <c r="C61" s="10"/>
      <c r="D61" s="10"/>
      <c r="E61" s="10"/>
      <c r="F61" s="10"/>
      <c r="H61" s="19"/>
    </row>
    <row r="62" spans="1:8" ht="15" customHeight="1" x14ac:dyDescent="0.2">
      <c r="A62" s="24" t="s">
        <v>52</v>
      </c>
      <c r="B62" s="84"/>
      <c r="C62" s="84"/>
      <c r="D62" s="23" t="s">
        <v>49</v>
      </c>
      <c r="E62" s="31">
        <v>2027</v>
      </c>
      <c r="F62" s="85" t="s">
        <v>54</v>
      </c>
      <c r="G62" s="85"/>
      <c r="H62" s="26">
        <v>0</v>
      </c>
    </row>
    <row r="63" spans="1:8" x14ac:dyDescent="0.2">
      <c r="A63" s="86" t="s">
        <v>53</v>
      </c>
      <c r="B63" s="87"/>
      <c r="C63" s="87"/>
      <c r="D63" s="86" t="s">
        <v>50</v>
      </c>
      <c r="E63" s="84" t="s">
        <v>51</v>
      </c>
      <c r="F63" s="85" t="s">
        <v>55</v>
      </c>
      <c r="G63" s="85"/>
      <c r="H63" s="26">
        <v>0</v>
      </c>
    </row>
    <row r="64" spans="1:8" ht="15" customHeight="1" x14ac:dyDescent="0.2">
      <c r="A64" s="86"/>
      <c r="B64" s="87"/>
      <c r="C64" s="87"/>
      <c r="D64" s="86"/>
      <c r="E64" s="84"/>
      <c r="F64" s="85" t="s">
        <v>56</v>
      </c>
      <c r="G64" s="85"/>
      <c r="H64" s="25">
        <f>SUM(H62:H63)</f>
        <v>0</v>
      </c>
    </row>
  </sheetData>
  <mergeCells count="100">
    <mergeCell ref="A63:A64"/>
    <mergeCell ref="B63:C64"/>
    <mergeCell ref="D63:D64"/>
    <mergeCell ref="E63:E64"/>
    <mergeCell ref="F63:G63"/>
    <mergeCell ref="F64:G64"/>
    <mergeCell ref="D54:E54"/>
    <mergeCell ref="G54:H54"/>
    <mergeCell ref="B56:D56"/>
    <mergeCell ref="A57:H60"/>
    <mergeCell ref="B62:C62"/>
    <mergeCell ref="F62:G62"/>
    <mergeCell ref="A49:B49"/>
    <mergeCell ref="D49:E49"/>
    <mergeCell ref="G49:H49"/>
    <mergeCell ref="D51:E51"/>
    <mergeCell ref="G51:H51"/>
    <mergeCell ref="D53:E53"/>
    <mergeCell ref="G53:H53"/>
    <mergeCell ref="C40:D40"/>
    <mergeCell ref="E40:F40"/>
    <mergeCell ref="G40:H40"/>
    <mergeCell ref="E41:F41"/>
    <mergeCell ref="E42:F42"/>
    <mergeCell ref="A48:B48"/>
    <mergeCell ref="D48:E48"/>
    <mergeCell ref="G48:H48"/>
    <mergeCell ref="A33:H33"/>
    <mergeCell ref="A34:B34"/>
    <mergeCell ref="E34:F34"/>
    <mergeCell ref="G34:H34"/>
    <mergeCell ref="A38:B38"/>
    <mergeCell ref="A39:H39"/>
    <mergeCell ref="A44:B44"/>
    <mergeCell ref="A31:B31"/>
    <mergeCell ref="C31:D31"/>
    <mergeCell ref="E31:F31"/>
    <mergeCell ref="G31:H31"/>
    <mergeCell ref="A32:B32"/>
    <mergeCell ref="C32:D32"/>
    <mergeCell ref="E32:F32"/>
    <mergeCell ref="G32:H32"/>
    <mergeCell ref="A29:B29"/>
    <mergeCell ref="C29:D29"/>
    <mergeCell ref="E29:F29"/>
    <mergeCell ref="G29:H29"/>
    <mergeCell ref="A30:B30"/>
    <mergeCell ref="C30:D30"/>
    <mergeCell ref="E30:F30"/>
    <mergeCell ref="G30:H30"/>
    <mergeCell ref="A28:B28"/>
    <mergeCell ref="C28:D28"/>
    <mergeCell ref="E28:F28"/>
    <mergeCell ref="G28:H28"/>
    <mergeCell ref="A24:B24"/>
    <mergeCell ref="E24:F24"/>
    <mergeCell ref="G24:H24"/>
    <mergeCell ref="A25:B25"/>
    <mergeCell ref="E25:F25"/>
    <mergeCell ref="G25:H25"/>
    <mergeCell ref="A26:H26"/>
    <mergeCell ref="A27:B27"/>
    <mergeCell ref="C27:D27"/>
    <mergeCell ref="E27:F27"/>
    <mergeCell ref="G27:H27"/>
    <mergeCell ref="A22:B22"/>
    <mergeCell ref="E22:F22"/>
    <mergeCell ref="G22:H22"/>
    <mergeCell ref="A23:B23"/>
    <mergeCell ref="E23:F23"/>
    <mergeCell ref="G23:H23"/>
    <mergeCell ref="A21:B21"/>
    <mergeCell ref="E21:F21"/>
    <mergeCell ref="G21:H21"/>
    <mergeCell ref="A12:H12"/>
    <mergeCell ref="B13:D13"/>
    <mergeCell ref="F13:H13"/>
    <mergeCell ref="B14:D14"/>
    <mergeCell ref="F14:H14"/>
    <mergeCell ref="A15:H15"/>
    <mergeCell ref="B16:H16"/>
    <mergeCell ref="B17:H17"/>
    <mergeCell ref="B18:H18"/>
    <mergeCell ref="B19:H19"/>
    <mergeCell ref="A20:H20"/>
    <mergeCell ref="A1:H1"/>
    <mergeCell ref="A2:H2"/>
    <mergeCell ref="A5:H5"/>
    <mergeCell ref="B6:D6"/>
    <mergeCell ref="F6:H6"/>
    <mergeCell ref="B7:D7"/>
    <mergeCell ref="F7:H7"/>
    <mergeCell ref="B10:D11"/>
    <mergeCell ref="A10:A11"/>
    <mergeCell ref="E10:E11"/>
    <mergeCell ref="A8:A9"/>
    <mergeCell ref="B8:D9"/>
    <mergeCell ref="E8:E9"/>
    <mergeCell ref="F8:H9"/>
    <mergeCell ref="F10:H11"/>
  </mergeCells>
  <phoneticPr fontId="9" type="noConversion"/>
  <printOptions horizontalCentered="1"/>
  <pageMargins left="0.23622047244094491" right="0.23622047244094491" top="0.74803149606299213" bottom="0.74803149606299213" header="0.31496062992125984" footer="0.31496062992125984"/>
  <pageSetup paperSize="14" scale="9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2026-01-06T02:13:23Z</cp:lastPrinted>
  <dcterms:created xsi:type="dcterms:W3CDTF">2026-01-06T00:31:05Z</dcterms:created>
  <dcterms:modified xsi:type="dcterms:W3CDTF">2026-01-06T04:04:42Z</dcterms:modified>
</cp:coreProperties>
</file>